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map-1" sheetId="1" r:id="rId5"/>
    <sheet state="visible" name="platemap-2-claude" sheetId="2" r:id="rId6"/>
  </sheets>
  <definedNames/>
  <calcPr/>
</workbook>
</file>

<file path=xl/sharedStrings.xml><?xml version="1.0" encoding="utf-8"?>
<sst xmlns="http://schemas.openxmlformats.org/spreadsheetml/2006/main" count="63" uniqueCount="35">
  <si>
    <t>Date</t>
  </si>
  <si>
    <t>Experiment</t>
  </si>
  <si>
    <t>Well</t>
  </si>
  <si>
    <t>Name</t>
  </si>
  <si>
    <t>Type</t>
  </si>
  <si>
    <t>Rxn Volume (uL)</t>
  </si>
  <si>
    <t>20260901-platemap-setup-test</t>
  </si>
  <si>
    <t>E1</t>
  </si>
  <si>
    <t>Nucleus PURE</t>
  </si>
  <si>
    <t>Sample</t>
  </si>
  <si>
    <t>20250311-platemap-setup-test</t>
  </si>
  <si>
    <t>E2</t>
  </si>
  <si>
    <t>E3</t>
  </si>
  <si>
    <t>F1</t>
  </si>
  <si>
    <t>NEB PURExpress</t>
  </si>
  <si>
    <t>Positive Control</t>
  </si>
  <si>
    <t>F2</t>
  </si>
  <si>
    <t>F3</t>
  </si>
  <si>
    <t>G1</t>
  </si>
  <si>
    <t>Fluorescein</t>
  </si>
  <si>
    <t>Standard</t>
  </si>
  <si>
    <t>G2</t>
  </si>
  <si>
    <t>G3</t>
  </si>
  <si>
    <t>Rxn Volume</t>
  </si>
  <si>
    <t>Component</t>
  </si>
  <si>
    <t>SMix</t>
  </si>
  <si>
    <t>PMix</t>
  </si>
  <si>
    <t>Ribosome</t>
  </si>
  <si>
    <t>tRNA</t>
  </si>
  <si>
    <t>RNase Inhibitor</t>
  </si>
  <si>
    <t>pOpen-T7-deGFP (XX conc.)</t>
  </si>
  <si>
    <t>Nucleus free H2O</t>
  </si>
  <si>
    <t>Total</t>
  </si>
  <si>
    <t>Sol A</t>
  </si>
  <si>
    <t>Sol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</si>
</sst>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13"/>
    <col customWidth="1" min="5" max="5" width="19.25"/>
    <col customWidth="1" min="6" max="6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46266.0</v>
      </c>
      <c r="B2" s="4" t="s">
        <v>6</v>
      </c>
      <c r="C2" s="5" t="s">
        <v>7</v>
      </c>
      <c r="D2" s="5" t="s">
        <v>8</v>
      </c>
      <c r="E2" s="5" t="s">
        <v>9</v>
      </c>
      <c r="F2" s="6">
        <v>10.0</v>
      </c>
    </row>
    <row r="3">
      <c r="A3" s="3">
        <v>46267.0</v>
      </c>
      <c r="B3" s="5" t="s">
        <v>10</v>
      </c>
      <c r="C3" s="5" t="s">
        <v>11</v>
      </c>
      <c r="D3" s="5" t="s">
        <v>8</v>
      </c>
      <c r="E3" s="5" t="s">
        <v>9</v>
      </c>
      <c r="F3" s="6">
        <v>10.0</v>
      </c>
    </row>
    <row r="4">
      <c r="A4" s="3">
        <v>46268.0</v>
      </c>
      <c r="B4" s="5" t="s">
        <v>10</v>
      </c>
      <c r="C4" s="5" t="s">
        <v>12</v>
      </c>
      <c r="D4" s="5" t="s">
        <v>8</v>
      </c>
      <c r="E4" s="5" t="s">
        <v>9</v>
      </c>
      <c r="F4" s="6">
        <v>10.0</v>
      </c>
    </row>
    <row r="5">
      <c r="A5" s="3">
        <v>46269.0</v>
      </c>
      <c r="B5" s="5" t="s">
        <v>10</v>
      </c>
      <c r="C5" s="5" t="s">
        <v>13</v>
      </c>
      <c r="D5" s="5" t="s">
        <v>14</v>
      </c>
      <c r="E5" s="5" t="s">
        <v>15</v>
      </c>
      <c r="F5" s="6">
        <v>10.0</v>
      </c>
    </row>
    <row r="6">
      <c r="A6" s="3">
        <v>46270.0</v>
      </c>
      <c r="B6" s="5" t="s">
        <v>10</v>
      </c>
      <c r="C6" s="5" t="s">
        <v>16</v>
      </c>
      <c r="D6" s="5" t="s">
        <v>14</v>
      </c>
      <c r="E6" s="5" t="s">
        <v>15</v>
      </c>
      <c r="F6" s="6">
        <v>10.0</v>
      </c>
    </row>
    <row r="7">
      <c r="A7" s="3">
        <v>46271.0</v>
      </c>
      <c r="B7" s="5" t="s">
        <v>10</v>
      </c>
      <c r="C7" s="5" t="s">
        <v>17</v>
      </c>
      <c r="D7" s="5" t="s">
        <v>14</v>
      </c>
      <c r="E7" s="5" t="s">
        <v>15</v>
      </c>
      <c r="F7" s="6">
        <v>10.0</v>
      </c>
    </row>
    <row r="8">
      <c r="A8" s="3">
        <v>46272.0</v>
      </c>
      <c r="B8" s="5" t="s">
        <v>10</v>
      </c>
      <c r="C8" s="5" t="s">
        <v>18</v>
      </c>
      <c r="D8" s="5" t="s">
        <v>19</v>
      </c>
      <c r="E8" s="5" t="s">
        <v>20</v>
      </c>
      <c r="F8" s="6">
        <v>10.0</v>
      </c>
    </row>
    <row r="9">
      <c r="A9" s="3">
        <v>46273.0</v>
      </c>
      <c r="B9" s="5" t="s">
        <v>10</v>
      </c>
      <c r="C9" s="5" t="s">
        <v>21</v>
      </c>
      <c r="D9" s="5" t="s">
        <v>19</v>
      </c>
      <c r="E9" s="5" t="s">
        <v>20</v>
      </c>
      <c r="F9" s="6">
        <v>10.0</v>
      </c>
    </row>
    <row r="10">
      <c r="A10" s="3">
        <v>46274.0</v>
      </c>
      <c r="B10" s="5" t="s">
        <v>10</v>
      </c>
      <c r="C10" s="5" t="s">
        <v>22</v>
      </c>
      <c r="D10" s="5" t="s">
        <v>19</v>
      </c>
      <c r="E10" s="5" t="s">
        <v>20</v>
      </c>
      <c r="F10" s="6">
        <v>10.0</v>
      </c>
    </row>
    <row r="14">
      <c r="A14" s="7" t="s">
        <v>23</v>
      </c>
      <c r="B14" s="7">
        <v>10.0</v>
      </c>
      <c r="D14" s="7" t="s">
        <v>8</v>
      </c>
    </row>
    <row r="15">
      <c r="D15" s="7" t="s">
        <v>24</v>
      </c>
      <c r="E15" s="7" t="s">
        <v>9</v>
      </c>
    </row>
    <row r="16">
      <c r="D16" s="7" t="s">
        <v>25</v>
      </c>
      <c r="E16" s="7">
        <v>3.0</v>
      </c>
    </row>
    <row r="17">
      <c r="D17" s="7" t="s">
        <v>26</v>
      </c>
      <c r="E17" s="7">
        <v>1.2</v>
      </c>
    </row>
    <row r="18">
      <c r="D18" s="7" t="s">
        <v>27</v>
      </c>
      <c r="E18" s="7">
        <v>1.8</v>
      </c>
    </row>
    <row r="19">
      <c r="D19" s="7" t="s">
        <v>28</v>
      </c>
      <c r="E19" s="7">
        <v>1.0</v>
      </c>
    </row>
    <row r="20">
      <c r="D20" s="7" t="s">
        <v>29</v>
      </c>
      <c r="E20" s="7">
        <v>0.5</v>
      </c>
    </row>
    <row r="21">
      <c r="D21" s="7" t="s">
        <v>30</v>
      </c>
      <c r="E21" s="7">
        <v>0.5</v>
      </c>
    </row>
    <row r="22">
      <c r="D22" s="7" t="s">
        <v>31</v>
      </c>
      <c r="E22" s="8">
        <f>B14-SUM(E16:E21)</f>
        <v>2</v>
      </c>
    </row>
    <row r="23">
      <c r="D23" s="7" t="s">
        <v>32</v>
      </c>
      <c r="E23" s="7">
        <f>B14</f>
        <v>10</v>
      </c>
    </row>
    <row r="25">
      <c r="D25" s="7" t="s">
        <v>14</v>
      </c>
    </row>
    <row r="26">
      <c r="D26" s="7" t="s">
        <v>24</v>
      </c>
      <c r="E26" s="7" t="s">
        <v>9</v>
      </c>
    </row>
    <row r="27">
      <c r="D27" s="7" t="s">
        <v>33</v>
      </c>
      <c r="E27" s="7">
        <v>4.0</v>
      </c>
    </row>
    <row r="28">
      <c r="D28" s="7" t="s">
        <v>34</v>
      </c>
      <c r="E28" s="7">
        <v>3.0</v>
      </c>
    </row>
    <row r="29">
      <c r="D29" s="7" t="s">
        <v>29</v>
      </c>
      <c r="E29" s="7">
        <v>0.5</v>
      </c>
    </row>
    <row r="30">
      <c r="D30" s="7" t="s">
        <v>30</v>
      </c>
      <c r="E30" s="7">
        <v>0.5</v>
      </c>
    </row>
    <row r="31">
      <c r="D31" s="7" t="s">
        <v>31</v>
      </c>
      <c r="E31" s="8">
        <f>B14-SUM(E27:E30)</f>
        <v>2</v>
      </c>
    </row>
    <row r="32">
      <c r="D32" s="7" t="s">
        <v>32</v>
      </c>
      <c r="E32" s="7">
        <f>B14</f>
        <v>10</v>
      </c>
    </row>
  </sheetData>
  <dataValidations>
    <dataValidation type="list" allowBlank="1" showErrorMessage="1" sqref="E2:E10">
      <formula1>"Sample,Standard,Positive Control,Negative Control,Blank,Control"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