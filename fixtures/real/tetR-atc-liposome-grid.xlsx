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ild" sheetId="1" r:id="rId5"/>
    <sheet state="visible" name="platemap-2" sheetId="2" r:id="rId6"/>
  </sheets>
  <definedNames/>
  <calcPr/>
</workbook>
</file>

<file path=xl/sharedStrings.xml><?xml version="1.0" encoding="utf-8"?>
<sst xmlns="http://schemas.openxmlformats.org/spreadsheetml/2006/main" count="147" uniqueCount="42">
  <si>
    <t>Experiment</t>
  </si>
  <si>
    <t>Solutions</t>
  </si>
  <si>
    <t>A</t>
  </si>
  <si>
    <t>tetR-aTc</t>
  </si>
  <si>
    <t>B</t>
  </si>
  <si>
    <t xml:space="preserve">Stock Concentration </t>
  </si>
  <si>
    <t xml:space="preserve">Target </t>
  </si>
  <si>
    <t>Final Vol [uL]</t>
  </si>
  <si>
    <t>Vol to add [uL]</t>
  </si>
  <si>
    <t xml:space="preserve">H2O [uL] </t>
  </si>
  <si>
    <t>C</t>
  </si>
  <si>
    <t>D</t>
  </si>
  <si>
    <t>aTc</t>
  </si>
  <si>
    <t>E</t>
  </si>
  <si>
    <t>[tetR] (uM)</t>
  </si>
  <si>
    <t>pT7-deGFP (ng/ul)</t>
  </si>
  <si>
    <t>[aTc] (uM)</t>
  </si>
  <si>
    <t>Glucose (mM)</t>
  </si>
  <si>
    <t>aTc (OS/IS)</t>
  </si>
  <si>
    <t>OS</t>
  </si>
  <si>
    <t>IS</t>
  </si>
  <si>
    <t>N/A</t>
  </si>
  <si>
    <t>lipids</t>
  </si>
  <si>
    <t>PURE mixtures</t>
  </si>
  <si>
    <t>POPC</t>
  </si>
  <si>
    <t>Master Mix</t>
  </si>
  <si>
    <t>[OS-glucose] (mM)</t>
  </si>
  <si>
    <t>Samples</t>
  </si>
  <si>
    <t>Reaction #</t>
  </si>
  <si>
    <t>pT7-tetO-plamGFP (uL)</t>
  </si>
  <si>
    <t>NEB Sol A</t>
  </si>
  <si>
    <t>NEB Sol B</t>
  </si>
  <si>
    <t>RNA ihb.</t>
  </si>
  <si>
    <t>Total</t>
  </si>
  <si>
    <t>Liposomes - Inner solution</t>
  </si>
  <si>
    <t>Liposome- outer solution</t>
  </si>
  <si>
    <t>MM</t>
  </si>
  <si>
    <t>Glucose</t>
  </si>
  <si>
    <t>pT7-deGFP</t>
  </si>
  <si>
    <t>Optiprep</t>
  </si>
  <si>
    <t>H2O</t>
  </si>
  <si>
    <t>Totoal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</si>
</sst>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2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b/>
      <sz val="10.0"/>
      <color rgb="FF000000"/>
      <name val="Arial"/>
    </font>
    <font>
      <b/>
      <color rgb="FF000000"/>
      <name val="Arial"/>
    </font>
    <font>
      <color rgb="FF000000"/>
      <name val="Arial"/>
    </font>
    <font>
      <color rgb="FF000000"/>
      <name val="Arial"/>
      <scheme val="minor"/>
    </font>
    <font>
      <sz val="10.0"/>
      <color theme="1"/>
      <name val="Arial"/>
    </font>
    <font>
      <b/>
      <color rgb="FF3D85C6"/>
      <name val="Arial"/>
    </font>
    <font>
      <sz val="9.0"/>
      <color rgb="FF000000"/>
      <name val="Arial"/>
      <scheme val="minor"/>
    </font>
    <font>
      <color rgb="FF3D85C6"/>
      <name val="Arial"/>
    </font>
    <font>
      <b/>
      <color rgb="FF9900FF"/>
      <name val="Arial"/>
    </font>
    <font>
      <b/>
      <sz val="10.0"/>
      <color rgb="FF9900FF"/>
      <name val="Arial"/>
    </font>
    <font>
      <color rgb="FFFF0000"/>
      <name val="Arial"/>
    </font>
    <font>
      <b/>
      <color rgb="FF1F1F1F"/>
      <name val="&quot;Google Sans&quot;"/>
    </font>
    <font>
      <sz val="10.0"/>
      <color rgb="FFFF0000"/>
      <name val="Arial"/>
    </font>
    <font>
      <sz val="10.0"/>
      <color rgb="FF000000"/>
      <name val="Arial"/>
    </font>
    <font>
      <color rgb="FF3C78D8"/>
      <name val="Arial"/>
    </font>
    <font>
      <color rgb="FFA64D79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3" fontId="3" numFmtId="0" xfId="0" applyAlignment="1" applyFill="1" applyFont="1">
      <alignment horizontal="center" vertical="bottom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 vertical="bottom"/>
    </xf>
    <xf borderId="0" fillId="3" fontId="3" numFmtId="3" xfId="0" applyAlignment="1" applyFill="1" applyFont="1" applyNumberForma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Font="1"/>
    <xf borderId="0" fillId="0" fontId="3" numFmtId="0" xfId="0" applyAlignment="1" applyFont="1">
      <alignment horizontal="center" readingOrder="0" vertical="bottom"/>
    </xf>
    <xf borderId="0" fillId="0" fontId="6" numFmtId="0" xfId="0" applyAlignment="1" applyFont="1">
      <alignment readingOrder="0"/>
    </xf>
    <xf borderId="0" fillId="4" fontId="2" numFmtId="0" xfId="0" applyAlignment="1" applyFill="1" applyFont="1">
      <alignment horizontal="left" readingOrder="0"/>
    </xf>
    <xf borderId="0" fillId="4" fontId="5" numFmtId="0" xfId="0" applyAlignment="1" applyFill="1" applyFont="1">
      <alignment readingOrder="0"/>
    </xf>
    <xf borderId="0" fillId="0" fontId="5" numFmtId="0" xfId="0" applyAlignment="1" applyFont="1">
      <alignment horizontal="center"/>
    </xf>
    <xf borderId="0" fillId="4" fontId="2" numFmtId="0" xfId="0" applyAlignment="1" applyFill="1" applyFont="1">
      <alignment readingOrder="0"/>
    </xf>
    <xf borderId="0" fillId="3" fontId="7" numFmtId="0" xfId="0" applyAlignment="1" applyFill="1" applyFont="1">
      <alignment horizontal="left" readingOrder="0"/>
    </xf>
    <xf borderId="0" fillId="3" fontId="7" numFmtId="0" xfId="0" applyAlignment="1" applyFill="1" applyFont="1">
      <alignment horizontal="center" readingOrder="0" vertical="bottom"/>
    </xf>
    <xf borderId="0" fillId="3" fontId="8" numFmtId="0" xfId="0" applyAlignment="1" applyFill="1" applyFont="1">
      <alignment horizontal="center" readingOrder="0" vertical="bottom"/>
    </xf>
    <xf borderId="0" fillId="3" fontId="8" numFmtId="2" xfId="0" applyAlignment="1" applyFill="1" applyFont="1" applyNumberFormat="1">
      <alignment horizontal="center" readingOrder="0" vertical="bottom"/>
    </xf>
    <xf borderId="0" fillId="0" fontId="9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3" fontId="3" numFmtId="3" xfId="0" applyAlignment="1" applyFill="1" applyFont="1" applyNumberFormat="1">
      <alignment horizontal="center" readingOrder="0" vertical="bottom"/>
    </xf>
    <xf borderId="0" fillId="0" fontId="10" numFmtId="0" xfId="0" applyFont="1"/>
    <xf borderId="0" fillId="4" fontId="4" numFmtId="0" xfId="0" applyAlignment="1" applyFill="1" applyFont="1">
      <alignment horizontal="left" readingOrder="0"/>
    </xf>
    <xf borderId="0" fillId="4" fontId="5" numFmtId="164" xfId="0" applyAlignment="1" applyFill="1" applyFont="1" applyNumberFormat="1">
      <alignment readingOrder="0"/>
    </xf>
    <xf borderId="0" fillId="4" fontId="5" numFmtId="0" xfId="0" applyFill="1" applyFont="1"/>
    <xf borderId="0" fillId="3" fontId="7" numFmtId="0" xfId="0" applyAlignment="1" applyFill="1" applyFont="1">
      <alignment horizontal="center" vertical="bottom"/>
    </xf>
    <xf borderId="0" fillId="4" fontId="5" numFmtId="164" xfId="0" applyAlignment="1" applyFill="1" applyFont="1" applyNumberFormat="1">
      <alignment horizontal="center" readingOrder="0"/>
    </xf>
    <xf borderId="0" fillId="3" fontId="8" numFmtId="0" xfId="0" applyAlignment="1" applyFill="1" applyFont="1">
      <alignment horizontal="center" readingOrder="0" vertical="bottom"/>
    </xf>
    <xf borderId="0" fillId="3" fontId="8" numFmtId="0" xfId="0" applyAlignment="1" applyFill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3" fontId="12" numFmtId="0" xfId="0" applyAlignment="1" applyFill="1" applyFont="1">
      <alignment horizontal="center" readingOrder="0"/>
    </xf>
    <xf borderId="0" fillId="3" fontId="8" numFmtId="2" xfId="0" applyAlignment="1" applyFill="1" applyFont="1" applyNumberFormat="1">
      <alignment horizontal="center" vertical="bottom"/>
    </xf>
    <xf borderId="0" fillId="0" fontId="6" numFmtId="0" xfId="0" applyFont="1"/>
    <xf borderId="0" fillId="4" fontId="10" numFmtId="0" xfId="0" applyAlignment="1" applyFill="1" applyFont="1">
      <alignment horizontal="center"/>
    </xf>
    <xf borderId="0" fillId="4" fontId="10" numFmtId="0" xfId="0" applyAlignment="1" applyFill="1" applyFont="1">
      <alignment horizontal="center" readingOrder="0"/>
    </xf>
    <xf borderId="0" fillId="4" fontId="10" numFmtId="0" xfId="0" applyAlignment="1" applyFill="1" applyFont="1">
      <alignment horizontal="center" vertical="bottom"/>
    </xf>
    <xf borderId="0" fillId="3" fontId="13" numFmtId="0" xfId="0" applyAlignment="1" applyFill="1" applyFont="1">
      <alignment horizontal="center" vertical="bottom"/>
    </xf>
    <xf borderId="0" fillId="3" fontId="13" numFmtId="0" xfId="0" applyAlignment="1" applyFill="1" applyFont="1">
      <alignment horizontal="center" readingOrder="0" vertical="bottom"/>
    </xf>
    <xf borderId="0" fillId="3" fontId="13" numFmtId="2" xfId="0" applyAlignment="1" applyFill="1" applyFont="1" applyNumberFormat="1">
      <alignment horizontal="center" vertical="bottom"/>
    </xf>
    <xf borderId="0" fillId="5" fontId="1" numFmtId="0" xfId="0" applyAlignment="1" applyFill="1" applyFont="1">
      <alignment horizontal="center" vertical="bottom"/>
    </xf>
    <xf borderId="0" fillId="6" fontId="7" numFmtId="0" xfId="0" applyAlignment="1" applyFill="1" applyFont="1">
      <alignment horizontal="center" readingOrder="0" vertical="bottom"/>
    </xf>
    <xf borderId="0" fillId="3" fontId="3" numFmtId="0" xfId="0" applyAlignment="1" applyFill="1" applyFont="1">
      <alignment vertical="bottom"/>
    </xf>
    <xf borderId="0" fillId="3" fontId="14" numFmtId="0" xfId="0" applyAlignment="1" applyFill="1" applyFont="1">
      <alignment horizontal="right" vertical="bottom"/>
    </xf>
    <xf borderId="0" fillId="3" fontId="15" numFmtId="0" xfId="0" applyAlignment="1" applyFill="1" applyFont="1">
      <alignment horizontal="right" readingOrder="0" vertical="bottom"/>
    </xf>
    <xf borderId="0" fillId="3" fontId="4" numFmtId="0" xfId="0" applyAlignment="1" applyFill="1" applyFont="1">
      <alignment horizontal="left" readingOrder="0"/>
    </xf>
    <xf borderId="0" fillId="4" fontId="10" numFmtId="0" xfId="0" applyAlignment="1" applyFill="1" applyFont="1">
      <alignment readingOrder="0"/>
    </xf>
    <xf borderId="0" fillId="4" fontId="10" numFmtId="0" xfId="0" applyFill="1" applyFont="1"/>
    <xf borderId="0" fillId="0" fontId="3" numFmtId="0" xfId="0" applyAlignment="1" applyFont="1">
      <alignment vertical="bottom"/>
    </xf>
    <xf borderId="0" fillId="3" fontId="1" numFmtId="2" xfId="0" applyAlignment="1" applyFill="1" applyFont="1" applyNumberFormat="1">
      <alignment horizontal="center" vertical="bottom"/>
    </xf>
    <xf borderId="0" fillId="3" fontId="1" numFmtId="2" xfId="0" applyAlignment="1" applyFill="1" applyFont="1" applyNumberFormat="1">
      <alignment horizontal="center" readingOrder="0" vertical="bottom"/>
    </xf>
    <xf borderId="0" fillId="3" fontId="3" numFmtId="0" xfId="0" applyAlignment="1" applyFill="1" applyFont="1">
      <alignment horizontal="right" vertical="bottom"/>
    </xf>
    <xf borderId="0" fillId="3" fontId="10" numFmtId="0" xfId="0" applyAlignment="1" applyFill="1" applyFont="1">
      <alignment horizontal="right" readingOrder="0"/>
    </xf>
    <xf borderId="0" fillId="3" fontId="4" numFmtId="0" xfId="0" applyAlignment="1" applyFill="1" applyFont="1">
      <alignment horizontal="left"/>
    </xf>
    <xf borderId="0" fillId="4" fontId="3" numFmtId="0" xfId="0" applyAlignment="1" applyFill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3" fontId="16" numFmtId="0" xfId="0" applyAlignment="1" applyFill="1" applyFont="1">
      <alignment horizontal="center" vertical="bottom"/>
    </xf>
    <xf borderId="0" fillId="3" fontId="16" numFmtId="0" xfId="0" applyAlignment="1" applyFill="1" applyFont="1">
      <alignment horizontal="right" vertical="bottom"/>
    </xf>
    <xf borderId="0" fillId="0" fontId="3" numFmtId="0" xfId="0" applyAlignment="1" applyFont="1">
      <alignment vertical="bottom"/>
    </xf>
    <xf borderId="0" fillId="3" fontId="16" numFmtId="2" xfId="0" applyAlignment="1" applyFill="1" applyFont="1" applyNumberFormat="1">
      <alignment horizontal="center" vertical="bottom"/>
    </xf>
    <xf borderId="0" fillId="3" fontId="3" numFmtId="0" xfId="0" applyAlignment="1" applyFill="1" applyFont="1">
      <alignment horizontal="center" vertical="bottom"/>
    </xf>
    <xf borderId="0" fillId="3" fontId="3" numFmtId="2" xfId="0" applyAlignment="1" applyFill="1" applyFont="1" applyNumberFormat="1">
      <alignment vertical="bottom"/>
    </xf>
    <xf borderId="0" fillId="0" fontId="1" numFmtId="0" xfId="0" applyAlignment="1" applyFont="1">
      <alignment vertical="bottom"/>
    </xf>
    <xf borderId="0" fillId="3" fontId="16" numFmtId="164" xfId="0" applyAlignment="1" applyFill="1" applyFont="1" applyNumberFormat="1">
      <alignment horizontal="center" vertical="bottom"/>
    </xf>
    <xf borderId="0" fillId="3" fontId="10" numFmtId="0" xfId="0" applyAlignment="1" applyFill="1" applyFont="1">
      <alignment horizontal="right"/>
    </xf>
    <xf borderId="0" fillId="3" fontId="10" numFmtId="0" xfId="0" applyAlignment="1" applyFill="1" applyFont="1">
      <alignment horizontal="center"/>
    </xf>
    <xf borderId="0" fillId="3" fontId="17" numFmtId="0" xfId="0" applyAlignment="1" applyFill="1" applyFont="1">
      <alignment vertical="bottom"/>
    </xf>
    <xf borderId="0" fillId="7" fontId="1" numFmtId="0" xfId="0" applyAlignment="1" applyFill="1" applyFont="1">
      <alignment vertical="bottom"/>
    </xf>
    <xf borderId="0" fillId="7" fontId="3" numFmtId="0" xfId="0" applyAlignment="1" applyFill="1" applyFont="1">
      <alignment horizontal="center" vertical="bottom"/>
    </xf>
    <xf borderId="0" fillId="7" fontId="3" numFmtId="0" xfId="0" applyAlignment="1" applyFill="1" applyFont="1">
      <alignment horizontal="right" vertical="bottom"/>
    </xf>
    <xf borderId="0" fillId="7" fontId="3" numFmtId="164" xfId="0" applyAlignment="1" applyFill="1" applyFont="1" applyNumberFormat="1">
      <alignment horizontal="center" vertical="bottom"/>
    </xf>
    <xf borderId="0" fillId="7" fontId="3" numFmtId="2" xfId="0" applyAlignment="1" applyFill="1" applyFont="1" applyNumberFormat="1">
      <alignment vertical="bottom"/>
    </xf>
    <xf borderId="0" fillId="3" fontId="5" numFmtId="0" xfId="0" applyFill="1" applyFont="1"/>
    <xf borderId="0" fillId="3" fontId="10" numFmtId="0" xfId="0" applyAlignment="1" applyFill="1" applyFont="1">
      <alignment horizontal="center" readingOrder="0"/>
    </xf>
    <xf borderId="0" fillId="3" fontId="16" numFmtId="0" xfId="0" applyAlignment="1" applyFill="1" applyFont="1">
      <alignment horizontal="center" readingOrder="0"/>
    </xf>
    <xf borderId="0" fillId="4" fontId="18" numFmtId="0" xfId="0" applyAlignment="1" applyFill="1" applyFont="1">
      <alignment horizontal="center" readingOrder="0"/>
    </xf>
    <xf borderId="0" fillId="7" fontId="18" numFmtId="0" xfId="0" applyAlignment="1" applyFill="1" applyFont="1">
      <alignment horizontal="center" readingOrder="0"/>
    </xf>
    <xf borderId="0" fillId="7" fontId="10" numFmtId="0" xfId="0" applyAlignment="1" applyFill="1" applyFont="1">
      <alignment horizontal="center" readingOrder="0"/>
    </xf>
    <xf borderId="0" fillId="7" fontId="10" numFmtId="0" xfId="0" applyAlignment="1" applyFill="1" applyFont="1">
      <alignment horizontal="center"/>
    </xf>
    <xf borderId="0" fillId="0" fontId="10" numFmtId="0" xfId="0" applyAlignment="1" applyFont="1">
      <alignment horizontal="center"/>
    </xf>
    <xf borderId="0" fillId="3" fontId="3" numFmtId="0" xfId="0" applyAlignment="1" applyFill="1" applyFont="1">
      <alignment vertical="bottom"/>
    </xf>
    <xf borderId="0" fillId="3" fontId="18" numFmtId="0" xfId="0" applyAlignment="1" applyFill="1" applyFont="1">
      <alignment horizontal="center" readingOrder="0"/>
    </xf>
    <xf borderId="0" fillId="3" fontId="10" numFmtId="0" xfId="0" applyAlignment="1" applyFill="1" applyFont="1">
      <alignment horizontal="center" readingOrder="0"/>
    </xf>
    <xf borderId="0" fillId="3" fontId="10" numFmtId="0" xfId="0" applyAlignment="1" applyFill="1" applyFont="1">
      <alignment horizontal="center"/>
    </xf>
    <xf borderId="0" fillId="8" fontId="1" numFmtId="0" xfId="0" applyAlignment="1" applyFill="1" applyFont="1">
      <alignment horizontal="center" readingOrder="0" vertical="bottom"/>
    </xf>
    <xf borderId="0" fillId="9" fontId="1" numFmtId="0" xfId="0" applyAlignment="1" applyFill="1" applyFont="1">
      <alignment horizontal="center" readingOrder="0" vertical="bottom"/>
    </xf>
    <xf borderId="0" fillId="3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readingOrder="0" vertical="bottom"/>
    </xf>
    <xf borderId="0" fillId="3" fontId="3" numFmtId="0" xfId="0" applyAlignment="1" applyFill="1" applyFont="1">
      <alignment vertical="bottom"/>
    </xf>
    <xf borderId="0" fillId="4" fontId="18" numFmtId="0" xfId="0" applyAlignment="1" applyFill="1" applyFont="1">
      <alignment horizontal="center"/>
    </xf>
    <xf borderId="0" fillId="3" fontId="1" numFmtId="0" xfId="0" applyAlignment="1" applyFill="1" applyFont="1">
      <alignment readingOrder="0" vertical="bottom"/>
    </xf>
    <xf borderId="0" fillId="3" fontId="3" numFmtId="0" xfId="0" applyAlignment="1" applyFill="1" applyFont="1">
      <alignment horizontal="center" vertical="bottom"/>
    </xf>
    <xf borderId="0" fillId="3" fontId="3" numFmtId="0" xfId="0" applyAlignment="1" applyFill="1" applyFont="1">
      <alignment horizontal="center" readingOrder="0" vertical="bottom"/>
    </xf>
    <xf borderId="0" fillId="3" fontId="7" numFmtId="2" xfId="0" applyAlignment="1" applyFill="1" applyFont="1" applyNumberFormat="1">
      <alignment horizontal="left" readingOrder="0" vertical="bottom"/>
    </xf>
    <xf borderId="0" fillId="3" fontId="3" numFmtId="0" xfId="0" applyAlignment="1" applyFill="1" applyFont="1">
      <alignment horizontal="right" vertical="bottom"/>
    </xf>
    <xf borderId="0" fillId="3" fontId="16" numFmtId="0" xfId="0" applyAlignment="1" applyFill="1" applyFont="1">
      <alignment horizontal="center" readingOrder="0" vertical="bottom"/>
    </xf>
    <xf borderId="0" fillId="3" fontId="1" numFmtId="0" xfId="0" applyAlignment="1" applyFill="1" applyFont="1">
      <alignment vertical="bottom"/>
    </xf>
    <xf borderId="0" fillId="4" fontId="4" numFmtId="0" xfId="0" applyAlignment="1" applyFill="1" applyFont="1">
      <alignment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4" fontId="19" numFmtId="0" xfId="0" applyFill="1" applyFont="1"/>
    <xf borderId="0" fillId="0" fontId="19" numFmtId="0" xfId="0" applyAlignment="1" applyFont="1">
      <alignment readingOrder="0"/>
    </xf>
    <xf borderId="0" fillId="3" fontId="16" numFmtId="2" xfId="0" applyAlignment="1" applyFill="1" applyFont="1" applyNumberFormat="1">
      <alignment horizontal="center" readingOrder="0" vertical="bottom"/>
    </xf>
    <xf borderId="0" fillId="7" fontId="1" numFmtId="2" xfId="0" applyAlignment="1" applyFill="1" applyFont="1" applyNumberFormat="1">
      <alignment vertical="bottom"/>
    </xf>
    <xf borderId="0" fillId="7" fontId="3" numFmtId="164" xfId="0" applyAlignment="1" applyFill="1" applyFont="1" applyNumberFormat="1">
      <alignment horizontal="right" vertical="bottom"/>
    </xf>
    <xf borderId="0" fillId="7" fontId="3" numFmtId="0" xfId="0" applyAlignment="1" applyFill="1" applyFont="1">
      <alignment horizontal="right" vertical="bottom"/>
    </xf>
    <xf borderId="0" fillId="4" fontId="10" numFmtId="0" xfId="0" applyAlignment="1" applyFill="1" applyFont="1">
      <alignment horizontal="center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3" fontId="1" numFmtId="2" xfId="0" applyAlignment="1" applyFill="1" applyFont="1" applyNumberFormat="1">
      <alignment vertical="bottom"/>
    </xf>
    <xf borderId="0" fillId="3" fontId="3" numFmtId="164" xfId="0" applyAlignment="1" applyFill="1" applyFont="1" applyNumberFormat="1">
      <alignment horizontal="right" vertical="bottom"/>
    </xf>
    <xf borderId="0" fillId="7" fontId="1" numFmtId="0" xfId="0" applyAlignment="1" applyFill="1" applyFont="1">
      <alignment vertical="bottom"/>
    </xf>
    <xf borderId="0" fillId="7" fontId="3" numFmtId="0" xfId="0" applyAlignment="1" applyFill="1" applyFont="1">
      <alignment horizontal="center" vertical="bottom"/>
    </xf>
    <xf borderId="0" fillId="7" fontId="3" numFmtId="0" xfId="0" applyAlignment="1" applyFill="1" applyFont="1">
      <alignment horizontal="center" vertical="bottom"/>
    </xf>
    <xf borderId="0" fillId="7" fontId="3" numFmtId="2" xfId="0" applyAlignment="1" applyFill="1" applyFont="1" applyNumberFormat="1">
      <alignment horizontal="center" readingOrder="0" vertical="bottom"/>
    </xf>
    <xf borderId="0" fillId="7" fontId="1" numFmtId="2" xfId="0" applyAlignment="1" applyFill="1" applyFont="1" applyNumberFormat="1">
      <alignment vertical="bottom"/>
    </xf>
    <xf borderId="0" fillId="0" fontId="8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20" numFmtId="0" xfId="0" applyAlignment="1" applyFont="1">
      <alignment horizontal="center" readingOrder="0" vertical="bottom"/>
    </xf>
    <xf borderId="0" fillId="0" fontId="21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7" fontId="5" numFmtId="0" xfId="0" applyAlignment="1" applyFill="1" applyFont="1">
      <alignment horizontal="center" readingOrder="0"/>
    </xf>
    <xf borderId="0" fillId="0" fontId="16" numFmtId="0" xfId="0" applyAlignment="1" applyFont="1">
      <alignment horizontal="center" readingOrder="0" vertical="bottom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left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</dxfs>
  <tableStyles count="11">
    <tableStyle count="2" pivot="0" name="build-style">
      <tableStyleElement dxfId="1" type="firstRowStripe"/>
      <tableStyleElement dxfId="2" type="secondRowStripe"/>
    </tableStyle>
    <tableStyle count="2" pivot="0" name="platemap-2-style">
      <tableStyleElement dxfId="1" type="firstRowStripe"/>
      <tableStyleElement dxfId="2" type="secondRowStripe"/>
    </tableStyle>
    <tableStyle count="2" pivot="0" name="build-style 2">
      <tableStyleElement dxfId="1" type="firstRowStripe"/>
      <tableStyleElement dxfId="2" type="secondRowStripe"/>
    </tableStyle>
    <tableStyle count="2" pivot="0" name="platemap-2-style 2">
      <tableStyleElement dxfId="1" type="firstRowStripe"/>
      <tableStyleElement dxfId="2" type="secondRowStripe"/>
    </tableStyle>
    <tableStyle count="2" pivot="0" name="build-style 3">
      <tableStyleElement dxfId="1" type="firstRowStripe"/>
      <tableStyleElement dxfId="2" type="secondRowStripe"/>
    </tableStyle>
    <tableStyle count="2" pivot="0" name="build-style 4">
      <tableStyleElement dxfId="2" type="firstRowStripe"/>
      <tableStyleElement dxfId="1" type="secondRowStripe"/>
    </tableStyle>
    <tableStyle count="2" pivot="0" name="platemap-2-style 3">
      <tableStyleElement dxfId="1" type="firstRowStripe"/>
      <tableStyleElement dxfId="2" type="secondRowStripe"/>
    </tableStyle>
    <tableStyle count="2" pivot="0" name="build-style 5">
      <tableStyleElement dxfId="2" type="firstRowStripe"/>
      <tableStyleElement dxfId="1" type="secondRowStripe"/>
    </tableStyle>
    <tableStyle count="2" pivot="0" name="build-style 6">
      <tableStyleElement dxfId="2" type="firstRowStripe"/>
      <tableStyleElement dxfId="1" type="secondRowStripe"/>
    </tableStyle>
    <tableStyle count="3" pivot="0" name="build-style 7">
      <tableStyleElement dxfId="3" type="headerRow"/>
      <tableStyleElement dxfId="1" type="firstRowStripe"/>
      <tableStyleElement dxfId="2" type="secondRowStripe"/>
    </tableStyle>
    <tableStyle count="3" pivot="0" name="build-style 8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" displayName="Table_2" name="Table_2" id="2">
  <tableColumns count="1">
    <tableColumn name="Column1" id="1"/>
  </tableColumns>
  <tableStyleInfo name="build-style" showColumnStripes="0" showFirstColumn="1" showLastColumn="1" showRowStripes="1"/>
</table>
</file>

<file path=xl/tables/table2.xml><?xml version="1.0" encoding="utf-8"?>
<table xmlns="http://schemas.openxmlformats.org/spreadsheetml/2006/main" headerRowCount="0" ref="C4:D4" displayName="Table_3" name="Table_3" id="3">
  <tableColumns count="2">
    <tableColumn name="Column1" id="1"/>
    <tableColumn name="Column2" id="2"/>
  </tableColumns>
  <tableStyleInfo name="build-style 2" showColumnStripes="0" showFirstColumn="1" showLastColumn="1" showRowStripes="1"/>
</table>
</file>

<file path=xl/tables/table3.xml><?xml version="1.0" encoding="utf-8"?>
<table xmlns="http://schemas.openxmlformats.org/spreadsheetml/2006/main" headerRowCount="0" ref="E4:F4" displayName="Table_5" name="Table_5" id="5">
  <tableColumns count="2">
    <tableColumn name="Column1" id="1"/>
    <tableColumn name="Column2" id="2"/>
  </tableColumns>
  <tableStyleInfo name="build-style 3" showColumnStripes="0" showFirstColumn="1" showLastColumn="1" showRowStripes="1"/>
</table>
</file>

<file path=xl/tables/table4.xml><?xml version="1.0" encoding="utf-8"?>
<table xmlns="http://schemas.openxmlformats.org/spreadsheetml/2006/main" headerRowCount="0" ref="B5:B7" displayName="Table_7" name="Table_7" id="7">
  <tableColumns count="1">
    <tableColumn name="Column1" id="1"/>
  </tableColumns>
  <tableStyleInfo name="build-style 4" showColumnStripes="0" showFirstColumn="1" showLastColumn="1" showRowStripes="1"/>
</table>
</file>

<file path=xl/tables/table5.xml><?xml version="1.0" encoding="utf-8"?>
<table xmlns="http://schemas.openxmlformats.org/spreadsheetml/2006/main" headerRowCount="0" ref="C5:D7" displayName="Table_8" name="Table_8" id="8">
  <tableColumns count="2">
    <tableColumn name="Column1" id="1"/>
    <tableColumn name="Column2" id="2"/>
  </tableColumns>
  <tableStyleInfo name="build-style 5" showColumnStripes="0" showFirstColumn="1" showLastColumn="1" showRowStripes="1"/>
</table>
</file>

<file path=xl/tables/table6.xml><?xml version="1.0" encoding="utf-8"?>
<table xmlns="http://schemas.openxmlformats.org/spreadsheetml/2006/main" headerRowCount="0" ref="E5:F7" displayName="Table_9" name="Table_9" id="9">
  <tableColumns count="2">
    <tableColumn name="Column1" id="1"/>
    <tableColumn name="Column2" id="2"/>
  </tableColumns>
  <tableStyleInfo name="build-style 6" showColumnStripes="0" showFirstColumn="1" showLastColumn="1" showRowStripes="1"/>
</table>
</file>

<file path=xl/tables/table7.xml><?xml version="1.0" encoding="utf-8"?>
<table xmlns="http://schemas.openxmlformats.org/spreadsheetml/2006/main" headerRowCount="0" ref="B18:I21" displayName="Table_10" name="Table_10" id="1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uild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39:A42" displayName="Table_11" name="Table_11" id="11">
  <tableColumns count="1">
    <tableColumn name="Column1" id="1"/>
  </tableColumns>
  <tableStyleInfo name="build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B17:G17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latemap-2-style" showColumnStripes="0" showFirstColumn="1" showLastColumn="1" showRowStripes="1"/>
</table>
</file>

<file path=xl/tables/table10.xml><?xml version="1.0" encoding="utf-8"?>
<table xmlns="http://schemas.openxmlformats.org/spreadsheetml/2006/main" headerRowCount="0" ref="B20:G20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latemap-2-style 2" showColumnStripes="0" showFirstColumn="1" showLastColumn="1" showRowStripes="1"/>
</table>
</file>

<file path=xl/tables/table11.xml><?xml version="1.0" encoding="utf-8"?>
<table xmlns="http://schemas.openxmlformats.org/spreadsheetml/2006/main" headerRowCount="0" ref="B59:G59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latemap-2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9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23.38"/>
    <col customWidth="1" min="3" max="3" width="25.0"/>
    <col customWidth="1" min="4" max="4" width="23.63"/>
    <col customWidth="1" min="5" max="5" width="17.75"/>
    <col customWidth="1" min="6" max="6" width="24.25"/>
    <col customWidth="1" min="7" max="7" width="30.75"/>
    <col customWidth="1" min="8" max="8" width="13.88"/>
    <col customWidth="1" min="9" max="9" width="12.63"/>
    <col customWidth="1" min="10" max="10" width="14.0"/>
    <col customWidth="1" min="11" max="11" width="15.75"/>
    <col customWidth="1" min="12" max="12" width="15.5"/>
    <col customWidth="1" min="14" max="14" width="15.75"/>
    <col customWidth="1" min="16" max="16" width="15.5"/>
    <col customWidth="1" min="17" max="17" width="16.88"/>
    <col customWidth="1" min="18" max="19" width="5.13"/>
    <col customWidth="1" min="20" max="20" width="6.13"/>
    <col customWidth="1" min="21" max="21" width="7.0"/>
    <col customWidth="1" min="22" max="22" width="8.0"/>
    <col customWidth="1" min="23" max="23" width="5.13"/>
    <col customWidth="1" min="24" max="24" width="14.38"/>
    <col customWidth="1" min="25" max="25" width="2.88"/>
  </cols>
  <sheetData>
    <row r="1" ht="15.75" customHeight="1">
      <c r="A1" s="3" t="s">
        <v>1</v>
      </c>
      <c r="K1" s="6"/>
      <c r="P1" s="8"/>
      <c r="Q1" s="6"/>
    </row>
    <row r="2" ht="15.75" customHeight="1">
      <c r="A2" s="10"/>
      <c r="B2" s="10" t="s">
        <v>5</v>
      </c>
      <c r="C2" s="10" t="s">
        <v>6</v>
      </c>
      <c r="D2" s="10" t="s">
        <v>7</v>
      </c>
      <c r="E2" s="12" t="s">
        <v>8</v>
      </c>
      <c r="F2" s="9" t="s">
        <v>9</v>
      </c>
      <c r="K2" s="14"/>
      <c r="L2" s="15"/>
      <c r="M2" s="15"/>
      <c r="N2" s="17"/>
      <c r="Q2" s="18"/>
      <c r="R2" s="19"/>
      <c r="S2" s="19"/>
      <c r="T2" s="19"/>
      <c r="U2" s="19"/>
      <c r="V2" s="19"/>
      <c r="W2" s="19"/>
      <c r="X2" s="21"/>
      <c r="Y2" s="19"/>
    </row>
    <row r="3" ht="15.75" customHeight="1">
      <c r="A3" s="23" t="s">
        <v>15</v>
      </c>
      <c r="B3" s="24">
        <v>148.0</v>
      </c>
      <c r="C3" s="24"/>
      <c r="D3" s="24"/>
      <c r="E3" s="25"/>
      <c r="F3" s="26"/>
      <c r="K3" s="27"/>
      <c r="L3" s="29"/>
      <c r="M3" s="29"/>
      <c r="N3" s="17"/>
      <c r="Q3" s="30"/>
      <c r="R3" s="31"/>
      <c r="S3" s="31"/>
      <c r="T3" s="31"/>
      <c r="U3" s="31"/>
      <c r="V3" s="31"/>
      <c r="W3" s="31"/>
      <c r="X3" s="32"/>
      <c r="Y3" s="32"/>
    </row>
    <row r="4" ht="15.75" customHeight="1">
      <c r="A4" s="33" t="s">
        <v>17</v>
      </c>
      <c r="B4" s="35">
        <v>3248.0</v>
      </c>
      <c r="C4" s="35">
        <v>1000.0</v>
      </c>
      <c r="D4" s="35">
        <v>500.0</v>
      </c>
      <c r="E4" s="36">
        <f t="shared" ref="E4:E6" si="1">C4*D4/B4</f>
        <v>153.9408867</v>
      </c>
      <c r="F4" s="36">
        <f t="shared" ref="F4:F6" si="2">D4-E4</f>
        <v>346.0591133</v>
      </c>
      <c r="K4" s="27"/>
      <c r="L4" s="29"/>
      <c r="M4" s="29"/>
      <c r="N4" s="17"/>
      <c r="Q4" s="30"/>
      <c r="R4" s="19"/>
      <c r="S4" s="19"/>
      <c r="T4" s="19"/>
      <c r="U4" s="19"/>
      <c r="V4" s="19"/>
      <c r="W4" s="19"/>
      <c r="X4" s="32"/>
      <c r="Y4" s="32"/>
    </row>
    <row r="5" ht="15.75" customHeight="1">
      <c r="A5" s="37"/>
      <c r="B5" s="24">
        <v>3248.0</v>
      </c>
      <c r="C5" s="24">
        <v>900.0</v>
      </c>
      <c r="D5" s="24">
        <v>500.0</v>
      </c>
      <c r="E5" s="39">
        <f t="shared" si="1"/>
        <v>138.546798</v>
      </c>
      <c r="F5" s="39">
        <f t="shared" si="2"/>
        <v>361.453202</v>
      </c>
      <c r="K5" s="27"/>
      <c r="L5" s="29"/>
      <c r="M5" s="29"/>
      <c r="N5" s="40"/>
      <c r="Q5" s="41"/>
      <c r="R5" s="42"/>
      <c r="S5" s="42"/>
      <c r="T5" s="42"/>
      <c r="U5" s="42"/>
      <c r="V5" s="43"/>
      <c r="W5" s="43"/>
      <c r="X5" s="43"/>
      <c r="Y5" s="43"/>
    </row>
    <row r="6" ht="15.75" customHeight="1">
      <c r="A6" s="37"/>
      <c r="B6" s="24">
        <v>3248.0</v>
      </c>
      <c r="C6" s="24">
        <v>800.0</v>
      </c>
      <c r="D6" s="24">
        <v>500.0</v>
      </c>
      <c r="E6" s="39">
        <f t="shared" si="1"/>
        <v>123.1527094</v>
      </c>
      <c r="F6" s="39">
        <f t="shared" si="2"/>
        <v>376.8472906</v>
      </c>
      <c r="K6" s="27"/>
      <c r="L6" s="29"/>
      <c r="M6" s="29"/>
      <c r="N6" s="40"/>
      <c r="Q6" s="41"/>
      <c r="R6" s="42"/>
      <c r="S6" s="42"/>
      <c r="T6" s="42"/>
      <c r="U6" s="42"/>
      <c r="V6" s="43"/>
      <c r="W6" s="43"/>
      <c r="X6" s="43"/>
      <c r="Y6" s="43"/>
    </row>
    <row r="7" ht="15.75" customHeight="1">
      <c r="A7" s="37"/>
      <c r="B7" s="44"/>
      <c r="C7" s="45"/>
      <c r="D7" s="44"/>
      <c r="E7" s="46"/>
      <c r="F7" s="46"/>
      <c r="K7" s="27"/>
      <c r="L7" s="29"/>
      <c r="M7" s="29"/>
      <c r="N7" s="40"/>
      <c r="Q7" s="41"/>
      <c r="R7" s="42"/>
      <c r="S7" s="42"/>
      <c r="T7" s="42"/>
      <c r="U7" s="42"/>
      <c r="V7" s="43"/>
      <c r="W7" s="43"/>
      <c r="X7" s="43"/>
      <c r="Y7" s="43"/>
    </row>
    <row r="8" ht="15.75" customHeight="1">
      <c r="A8" s="47" t="s">
        <v>23</v>
      </c>
      <c r="E8" s="48" t="s">
        <v>25</v>
      </c>
      <c r="G8" s="23"/>
      <c r="H8" s="49"/>
      <c r="I8" s="50"/>
      <c r="J8" s="51"/>
      <c r="K8" s="52"/>
      <c r="L8" s="53"/>
      <c r="M8" s="54"/>
      <c r="N8" s="32"/>
      <c r="O8" s="32"/>
      <c r="P8" s="32"/>
      <c r="Q8" s="32"/>
      <c r="R8" s="32"/>
      <c r="S8" s="32"/>
    </row>
    <row r="9" ht="15.75" customHeight="1">
      <c r="A9" s="55"/>
      <c r="B9" s="10" t="s">
        <v>27</v>
      </c>
      <c r="C9" s="10"/>
      <c r="D9" s="10"/>
      <c r="E9" s="56" t="s">
        <v>28</v>
      </c>
      <c r="F9" s="57">
        <v>4.0</v>
      </c>
      <c r="G9" s="57"/>
      <c r="H9" s="56"/>
      <c r="I9" s="58"/>
      <c r="J9" s="59"/>
      <c r="K9" s="60"/>
      <c r="L9" s="53"/>
      <c r="M9" s="54"/>
      <c r="N9" s="32"/>
      <c r="O9" s="32"/>
      <c r="P9" s="32"/>
      <c r="Q9" s="32"/>
      <c r="R9" s="32"/>
      <c r="S9" s="61"/>
      <c r="T9" s="62"/>
    </row>
    <row r="10" ht="15.75" customHeight="1">
      <c r="A10" s="1" t="s">
        <v>30</v>
      </c>
      <c r="B10" s="64">
        <f>12</f>
        <v>12</v>
      </c>
      <c r="C10" s="65"/>
      <c r="D10" s="65"/>
      <c r="E10" s="67">
        <f>(B10+C10+D10)*F9*1.1</f>
        <v>52.8</v>
      </c>
      <c r="F10" s="69"/>
      <c r="G10" s="69"/>
      <c r="H10" s="69"/>
      <c r="I10" s="58"/>
      <c r="J10" s="59"/>
      <c r="K10" s="60"/>
      <c r="L10" s="53"/>
      <c r="M10" s="54"/>
      <c r="N10" s="32"/>
      <c r="O10" s="32"/>
      <c r="P10" s="32"/>
      <c r="Q10" s="32"/>
      <c r="R10" s="32"/>
      <c r="S10" s="61"/>
      <c r="T10" s="62"/>
    </row>
    <row r="11" ht="15.75" customHeight="1">
      <c r="A11" s="70" t="s">
        <v>31</v>
      </c>
      <c r="B11" s="64">
        <v>9.0</v>
      </c>
      <c r="C11" s="65"/>
      <c r="D11" s="65"/>
      <c r="E11" s="71">
        <f>(B11+C11+D11)*F9*1.1</f>
        <v>39.6</v>
      </c>
      <c r="F11" s="69"/>
      <c r="G11" s="69"/>
      <c r="H11" s="69"/>
      <c r="I11" s="58"/>
      <c r="J11" s="72"/>
      <c r="K11" s="60"/>
      <c r="L11" s="53"/>
      <c r="M11" s="54"/>
      <c r="N11" s="32"/>
      <c r="O11" s="32"/>
      <c r="P11" s="32"/>
      <c r="Q11" s="32"/>
      <c r="R11" s="32"/>
      <c r="S11" s="61"/>
      <c r="T11" s="62"/>
    </row>
    <row r="12" ht="15.75" customHeight="1">
      <c r="A12" s="1" t="s">
        <v>32</v>
      </c>
      <c r="B12" s="64">
        <v>1.5</v>
      </c>
      <c r="C12" s="65"/>
      <c r="D12" s="65"/>
      <c r="E12" s="67">
        <f>(B12+C12+D12)*F9*1.1</f>
        <v>6.6</v>
      </c>
      <c r="F12" s="69"/>
      <c r="G12" s="69"/>
      <c r="H12" s="69"/>
      <c r="I12" s="73"/>
      <c r="J12" s="73"/>
      <c r="K12" s="60"/>
      <c r="L12" s="54"/>
      <c r="M12" s="54"/>
      <c r="N12" s="32"/>
      <c r="O12" s="32"/>
      <c r="P12" s="32"/>
      <c r="Q12" s="32"/>
      <c r="R12" s="32"/>
      <c r="S12" s="61"/>
      <c r="T12" s="62"/>
    </row>
    <row r="13" ht="15.75" customHeight="1">
      <c r="A13" s="75" t="s">
        <v>33</v>
      </c>
      <c r="B13" s="76">
        <f>SUM(B10:B12)</f>
        <v>22.5</v>
      </c>
      <c r="C13" s="77"/>
      <c r="D13" s="77"/>
      <c r="E13" s="78">
        <f>SUM(E10:E12)</f>
        <v>99</v>
      </c>
      <c r="F13" s="79"/>
      <c r="G13" s="69"/>
      <c r="H13" s="69"/>
      <c r="I13" s="80"/>
      <c r="J13" s="81"/>
      <c r="K13" s="52"/>
      <c r="L13" s="82"/>
      <c r="M13" s="83"/>
      <c r="N13" s="84"/>
      <c r="O13" s="85"/>
      <c r="P13" s="84"/>
      <c r="Q13" s="86"/>
      <c r="R13" s="86"/>
      <c r="S13" s="41"/>
      <c r="T13" s="87"/>
    </row>
    <row r="14" ht="15.75" customHeight="1">
      <c r="A14" s="88"/>
      <c r="B14" s="49"/>
      <c r="C14" s="49"/>
      <c r="D14" s="49"/>
      <c r="E14" s="49"/>
      <c r="F14" s="69"/>
      <c r="G14" s="88"/>
      <c r="H14" s="88"/>
      <c r="J14" s="81"/>
      <c r="K14" s="52"/>
      <c r="L14" s="82"/>
      <c r="M14" s="83"/>
      <c r="N14" s="89"/>
      <c r="O14" s="90"/>
      <c r="P14" s="89"/>
      <c r="Q14" s="91"/>
      <c r="R14" s="91"/>
      <c r="S14" s="41"/>
      <c r="T14" s="87"/>
    </row>
    <row r="15" ht="15.75" customHeight="1">
      <c r="A15" s="92" t="s">
        <v>34</v>
      </c>
      <c r="E15" s="93" t="s">
        <v>35</v>
      </c>
      <c r="G15" s="94"/>
      <c r="H15" s="10"/>
      <c r="I15" s="80"/>
      <c r="J15" s="80"/>
      <c r="K15" s="80"/>
      <c r="L15" s="84"/>
      <c r="M15" s="84"/>
      <c r="N15" s="84"/>
      <c r="O15" s="85"/>
      <c r="P15" s="84"/>
      <c r="Q15" s="86"/>
      <c r="R15" s="86"/>
      <c r="S15" s="41"/>
      <c r="T15" s="87"/>
    </row>
    <row r="16" ht="15.75" customHeight="1">
      <c r="A16" s="49"/>
      <c r="B16" s="95" t="s">
        <v>27</v>
      </c>
      <c r="C16" s="95"/>
      <c r="D16" s="10"/>
      <c r="E16" s="95"/>
      <c r="F16" s="95" t="s">
        <v>27</v>
      </c>
      <c r="G16" s="10"/>
      <c r="H16" s="96"/>
      <c r="I16" s="80"/>
      <c r="J16" s="80"/>
      <c r="K16" s="80"/>
      <c r="L16" s="97"/>
      <c r="M16" s="97"/>
      <c r="N16" s="97"/>
      <c r="O16" s="41"/>
      <c r="P16" s="41"/>
      <c r="Q16" s="41"/>
      <c r="R16" s="41"/>
      <c r="S16" s="41"/>
      <c r="T16" s="87"/>
    </row>
    <row r="17" ht="15.75" customHeight="1">
      <c r="A17" s="98" t="s">
        <v>36</v>
      </c>
      <c r="B17" s="99">
        <f>SUM(B10+B11+B12)</f>
        <v>22.5</v>
      </c>
      <c r="C17" s="100"/>
      <c r="D17" s="100"/>
      <c r="E17" s="101" t="s">
        <v>37</v>
      </c>
      <c r="F17" s="24">
        <v>300.0</v>
      </c>
      <c r="G17" s="102"/>
      <c r="H17" s="88"/>
      <c r="I17" s="32"/>
      <c r="K17" s="13"/>
      <c r="L17" s="13"/>
      <c r="M17" s="13"/>
      <c r="N17" s="13"/>
      <c r="O17" s="13"/>
      <c r="P17" s="32"/>
    </row>
    <row r="18" ht="15.75" customHeight="1">
      <c r="A18" s="4" t="s">
        <v>38</v>
      </c>
      <c r="B18" s="103">
        <v>3.0</v>
      </c>
      <c r="C18" s="103"/>
      <c r="D18" s="103"/>
      <c r="E18" s="104"/>
      <c r="F18" s="102"/>
      <c r="G18" s="102"/>
      <c r="H18" s="49"/>
      <c r="I18" s="105"/>
      <c r="K18" s="4"/>
      <c r="L18" s="106"/>
      <c r="M18" s="106"/>
      <c r="N18" s="106"/>
      <c r="O18" s="107"/>
      <c r="P18" s="108"/>
      <c r="Q18" s="109"/>
    </row>
    <row r="19" ht="15.75" customHeight="1">
      <c r="A19" s="98" t="s">
        <v>39</v>
      </c>
      <c r="B19" s="103">
        <v>1.5</v>
      </c>
      <c r="C19" s="103"/>
      <c r="D19" s="110"/>
      <c r="E19" s="111"/>
      <c r="F19" s="112"/>
      <c r="G19" s="113"/>
      <c r="H19" s="88"/>
      <c r="I19" s="114"/>
      <c r="K19" s="106"/>
      <c r="L19" s="115"/>
      <c r="M19" s="116"/>
      <c r="N19" s="106"/>
      <c r="O19" s="107"/>
    </row>
    <row r="20" ht="15.75" customHeight="1">
      <c r="A20" s="98" t="s">
        <v>40</v>
      </c>
      <c r="B20" s="103">
        <v>3.0</v>
      </c>
      <c r="C20" s="103"/>
      <c r="D20" s="110"/>
      <c r="E20" s="117"/>
      <c r="F20" s="118"/>
      <c r="G20" s="102"/>
      <c r="H20" s="88"/>
      <c r="I20" s="114"/>
      <c r="K20" s="106"/>
      <c r="L20" s="115"/>
      <c r="M20" s="116"/>
      <c r="N20" s="106"/>
      <c r="O20" s="107"/>
    </row>
    <row r="21" ht="15.75" customHeight="1">
      <c r="A21" s="119" t="s">
        <v>33</v>
      </c>
      <c r="B21" s="120">
        <f>sum(B17:B20)</f>
        <v>30</v>
      </c>
      <c r="C21" s="121"/>
      <c r="D21" s="122"/>
      <c r="E21" s="123" t="s">
        <v>41</v>
      </c>
      <c r="F21" s="78">
        <f>F17</f>
        <v>300</v>
      </c>
      <c r="G21" s="102"/>
      <c r="H21" s="88"/>
      <c r="I21" s="114"/>
      <c r="K21" s="106"/>
      <c r="L21" s="115"/>
      <c r="M21" s="116"/>
      <c r="N21" s="106"/>
      <c r="O21" s="107"/>
    </row>
    <row r="22" ht="15.75" customHeight="1">
      <c r="K22" s="4"/>
      <c r="L22" s="115"/>
      <c r="M22" s="116"/>
      <c r="N22" s="55"/>
      <c r="O22" s="55"/>
    </row>
    <row r="23" ht="15.75" customHeight="1">
      <c r="A23" s="10"/>
      <c r="G23" s="23"/>
      <c r="K23" s="106"/>
      <c r="L23" s="107"/>
      <c r="M23" s="116"/>
      <c r="N23" s="55"/>
      <c r="O23" s="55"/>
    </row>
    <row r="24" ht="15.75" customHeight="1">
      <c r="A24" s="49"/>
      <c r="B24" s="95"/>
      <c r="C24" s="95"/>
      <c r="D24" s="94"/>
      <c r="E24" s="94"/>
      <c r="F24" s="23"/>
      <c r="G24" s="23"/>
      <c r="K24" s="106"/>
      <c r="L24" s="107"/>
      <c r="M24" s="116"/>
      <c r="N24" s="55"/>
      <c r="O24" s="55"/>
    </row>
    <row r="25" ht="15.75" customHeight="1">
      <c r="A25" s="98"/>
      <c r="B25" s="16"/>
      <c r="C25" s="16"/>
      <c r="D25" s="5"/>
      <c r="E25" s="5"/>
      <c r="F25" s="56"/>
      <c r="G25" s="57"/>
      <c r="K25" s="106"/>
      <c r="L25" s="115"/>
      <c r="M25" s="116"/>
      <c r="N25" s="55"/>
      <c r="O25" s="55"/>
    </row>
    <row r="26" ht="15.75" customHeight="1">
      <c r="A26" s="4"/>
      <c r="B26" s="124"/>
      <c r="C26" s="124"/>
      <c r="D26" s="125"/>
      <c r="E26" s="125"/>
      <c r="K26" s="70"/>
      <c r="L26" s="126"/>
      <c r="M26" s="116"/>
      <c r="N26" s="66"/>
      <c r="O26" s="66"/>
    </row>
    <row r="27" ht="15.75" customHeight="1">
      <c r="A27" s="4"/>
      <c r="B27" s="127"/>
      <c r="C27" s="128"/>
      <c r="D27" s="125"/>
      <c r="E27" s="5"/>
      <c r="F27" s="13"/>
      <c r="K27" s="129"/>
      <c r="L27" s="66"/>
      <c r="M27" s="66"/>
      <c r="N27" s="66"/>
      <c r="O27" s="66"/>
    </row>
    <row r="28" ht="15.75" customHeight="1">
      <c r="A28" s="119"/>
      <c r="B28" s="120"/>
      <c r="C28" s="120"/>
      <c r="D28" s="120"/>
      <c r="E28" s="120"/>
      <c r="F28" s="130"/>
      <c r="K28" s="4"/>
      <c r="L28" s="16"/>
      <c r="M28" s="16"/>
      <c r="N28" s="16"/>
      <c r="O28" s="66"/>
    </row>
    <row r="29" ht="15.75" customHeight="1">
      <c r="K29" s="4"/>
      <c r="L29" s="16"/>
      <c r="M29" s="16"/>
      <c r="N29" s="62"/>
      <c r="O29" s="66"/>
    </row>
    <row r="30" ht="15.75" customHeight="1">
      <c r="K30" s="4"/>
      <c r="L30" s="62"/>
      <c r="M30" s="131"/>
      <c r="N30" s="62"/>
      <c r="O30" s="66"/>
    </row>
    <row r="31" ht="15.75" customHeight="1">
      <c r="K31" s="4"/>
      <c r="L31" s="16"/>
      <c r="M31" s="131"/>
      <c r="N31" s="16"/>
      <c r="O31" s="66"/>
    </row>
    <row r="32" ht="15.75" customHeight="1">
      <c r="K32" s="4"/>
      <c r="L32" s="16"/>
      <c r="M32" s="62"/>
      <c r="N32" s="16"/>
      <c r="O32" s="66"/>
    </row>
    <row r="33" ht="15.75" customHeight="1">
      <c r="A33" s="106"/>
      <c r="K33" s="70"/>
      <c r="L33" s="62"/>
      <c r="M33" s="62"/>
      <c r="N33" s="62"/>
      <c r="O33" s="66"/>
    </row>
    <row r="34" ht="15.75" customHeight="1">
      <c r="A34" s="116"/>
      <c r="K34" s="132"/>
    </row>
    <row r="35" ht="15.75" customHeight="1">
      <c r="A35" s="116"/>
      <c r="K35" s="133"/>
    </row>
    <row r="36" ht="15.75" customHeight="1">
      <c r="A36" s="116"/>
      <c r="K36" s="134"/>
    </row>
    <row r="37" ht="15.75" customHeight="1">
      <c r="A37" s="116"/>
      <c r="K37" s="134"/>
    </row>
    <row r="38" ht="15.75" customHeight="1">
      <c r="A38" s="116"/>
      <c r="K38" s="134"/>
    </row>
    <row r="39" ht="15.75" customHeight="1">
      <c r="A39" s="116"/>
      <c r="K39" s="134"/>
    </row>
    <row r="40" ht="15.75" customHeight="1">
      <c r="A40" s="116"/>
      <c r="K40" s="134"/>
    </row>
    <row r="41" ht="15.75" customHeight="1">
      <c r="A41" s="116"/>
      <c r="K41" s="134"/>
    </row>
    <row r="42" ht="15.75" customHeight="1">
      <c r="A42" s="116"/>
      <c r="K42" s="134"/>
    </row>
    <row r="43" ht="15.75" customHeight="1">
      <c r="K43" s="134"/>
    </row>
    <row r="44" ht="15.75" customHeight="1">
      <c r="K44" s="134"/>
    </row>
    <row r="45" ht="15.75" customHeight="1">
      <c r="K45" s="134"/>
    </row>
    <row r="46" ht="15.75" customHeight="1">
      <c r="K46" s="134"/>
    </row>
    <row r="47" ht="15.75" customHeight="1">
      <c r="K47" s="134"/>
    </row>
    <row r="48" ht="15.75" customHeight="1">
      <c r="K48" s="134"/>
    </row>
    <row r="49" ht="15.75" customHeight="1">
      <c r="K49" s="134"/>
    </row>
    <row r="50" ht="15.75" customHeight="1">
      <c r="K50" s="134"/>
    </row>
    <row r="51" ht="15.75" customHeight="1">
      <c r="K51" s="134"/>
    </row>
    <row r="52" ht="15.75" customHeight="1">
      <c r="K52" s="134"/>
    </row>
    <row r="53" ht="15.75" customHeight="1">
      <c r="K53" s="134"/>
    </row>
    <row r="54" ht="15.75" customHeight="1">
      <c r="K54" s="134"/>
    </row>
    <row r="55" ht="15.75" customHeight="1">
      <c r="K55" s="134"/>
    </row>
    <row r="56" ht="15.75" customHeight="1">
      <c r="K56" s="134"/>
    </row>
    <row r="57" ht="15.75" customHeight="1">
      <c r="K57" s="134"/>
    </row>
    <row r="58" ht="15.75" customHeight="1">
      <c r="K58" s="134"/>
    </row>
    <row r="59" ht="15.75" customHeight="1">
      <c r="K59" s="134"/>
    </row>
    <row r="60" ht="15.75" customHeight="1">
      <c r="K60" s="134"/>
    </row>
    <row r="61" ht="15.75" customHeight="1">
      <c r="K61" s="134"/>
    </row>
    <row r="62" ht="15.75" customHeight="1">
      <c r="K62" s="134"/>
    </row>
    <row r="63" ht="15.75" customHeight="1">
      <c r="K63" s="134"/>
    </row>
    <row r="64" ht="15.75" customHeight="1">
      <c r="K64" s="134"/>
    </row>
    <row r="65" ht="15.75" customHeight="1">
      <c r="K65" s="134"/>
    </row>
    <row r="66" ht="15.75" customHeight="1">
      <c r="K66" s="134"/>
    </row>
    <row r="67" ht="15.75" customHeight="1">
      <c r="K67" s="134"/>
    </row>
    <row r="68" ht="15.75" customHeight="1">
      <c r="K68" s="134"/>
    </row>
    <row r="69" ht="15.75" customHeight="1">
      <c r="K69" s="134"/>
    </row>
    <row r="70" ht="15.75" customHeight="1">
      <c r="K70" s="134"/>
    </row>
    <row r="71" ht="15.75" customHeight="1">
      <c r="K71" s="134"/>
    </row>
    <row r="72" ht="15.75" customHeight="1">
      <c r="K72" s="134"/>
    </row>
    <row r="73" ht="15.75" customHeight="1">
      <c r="K73" s="134"/>
    </row>
    <row r="74" ht="15.75" customHeight="1">
      <c r="K74" s="134"/>
    </row>
    <row r="75" ht="15.75" customHeight="1">
      <c r="K75" s="134"/>
    </row>
    <row r="76" ht="15.75" customHeight="1">
      <c r="K76" s="134"/>
    </row>
    <row r="77" ht="15.75" customHeight="1">
      <c r="K77" s="134"/>
    </row>
    <row r="78" ht="15.75" customHeight="1">
      <c r="K78" s="134"/>
    </row>
    <row r="79" ht="15.75" customHeight="1">
      <c r="K79" s="134"/>
    </row>
    <row r="80" ht="15.75" customHeight="1">
      <c r="K80" s="134"/>
    </row>
    <row r="81" ht="15.75" customHeight="1">
      <c r="K81" s="134"/>
    </row>
    <row r="82" ht="15.75" customHeight="1">
      <c r="K82" s="134"/>
    </row>
    <row r="83" ht="15.75" customHeight="1">
      <c r="K83" s="134"/>
    </row>
    <row r="84" ht="15.75" customHeight="1">
      <c r="K84" s="134"/>
    </row>
    <row r="85" ht="15.75" customHeight="1">
      <c r="K85" s="134"/>
    </row>
    <row r="86" ht="15.75" customHeight="1">
      <c r="K86" s="134"/>
    </row>
    <row r="87" ht="15.75" customHeight="1">
      <c r="K87" s="134"/>
    </row>
    <row r="88" ht="15.75" customHeight="1">
      <c r="K88" s="134"/>
    </row>
    <row r="89" ht="15.75" customHeight="1">
      <c r="K89" s="134"/>
    </row>
    <row r="90" ht="15.75" customHeight="1">
      <c r="K90" s="134"/>
    </row>
    <row r="91" ht="15.75" customHeight="1">
      <c r="K91" s="134"/>
    </row>
    <row r="92" ht="15.75" customHeight="1">
      <c r="K92" s="134"/>
    </row>
    <row r="93" ht="15.75" customHeight="1">
      <c r="K93" s="134"/>
    </row>
    <row r="94" ht="15.75" customHeight="1">
      <c r="K94" s="134"/>
    </row>
    <row r="95" ht="15.75" customHeight="1">
      <c r="K95" s="134"/>
    </row>
    <row r="96" ht="15.75" customHeight="1">
      <c r="K96" s="134"/>
    </row>
    <row r="97" ht="15.75" customHeight="1">
      <c r="K97" s="134"/>
    </row>
    <row r="98" ht="15.75" customHeight="1">
      <c r="K98" s="134"/>
    </row>
    <row r="99" ht="15.75" customHeight="1">
      <c r="K99" s="134"/>
    </row>
    <row r="100" ht="15.75" customHeight="1">
      <c r="K100" s="134"/>
    </row>
    <row r="101" ht="15.75" customHeight="1">
      <c r="K101" s="134"/>
    </row>
    <row r="102" ht="15.75" customHeight="1">
      <c r="K102" s="134"/>
    </row>
    <row r="103" ht="15.75" customHeight="1">
      <c r="K103" s="134"/>
    </row>
    <row r="104" ht="15.75" customHeight="1">
      <c r="K104" s="134"/>
    </row>
    <row r="105" ht="15.75" customHeight="1">
      <c r="K105" s="134"/>
    </row>
    <row r="106" ht="15.75" customHeight="1">
      <c r="K106" s="134"/>
    </row>
    <row r="107" ht="15.75" customHeight="1">
      <c r="K107" s="134"/>
    </row>
    <row r="108" ht="15.75" customHeight="1">
      <c r="K108" s="134"/>
    </row>
    <row r="109" ht="15.75" customHeight="1">
      <c r="K109" s="134"/>
    </row>
    <row r="110" ht="15.75" customHeight="1">
      <c r="K110" s="134"/>
    </row>
    <row r="111" ht="15.75" customHeight="1">
      <c r="K111" s="134"/>
    </row>
    <row r="112" ht="15.75" customHeight="1">
      <c r="K112" s="134"/>
    </row>
    <row r="113" ht="15.75" customHeight="1">
      <c r="K113" s="134"/>
    </row>
    <row r="114" ht="15.75" customHeight="1">
      <c r="K114" s="134"/>
    </row>
    <row r="115" ht="15.75" customHeight="1">
      <c r="K115" s="134"/>
    </row>
    <row r="116" ht="15.75" customHeight="1">
      <c r="K116" s="134"/>
    </row>
    <row r="117" ht="15.75" customHeight="1">
      <c r="K117" s="134"/>
    </row>
    <row r="118" ht="15.75" customHeight="1">
      <c r="K118" s="134"/>
    </row>
    <row r="119" ht="15.75" customHeight="1">
      <c r="K119" s="134"/>
    </row>
    <row r="120" ht="15.75" customHeight="1">
      <c r="K120" s="134"/>
    </row>
    <row r="121" ht="15.75" customHeight="1">
      <c r="K121" s="134"/>
    </row>
    <row r="122" ht="15.75" customHeight="1">
      <c r="K122" s="134"/>
    </row>
    <row r="123" ht="15.75" customHeight="1">
      <c r="K123" s="134"/>
    </row>
    <row r="124" ht="15.75" customHeight="1">
      <c r="K124" s="134"/>
    </row>
    <row r="125" ht="15.75" customHeight="1">
      <c r="K125" s="134"/>
    </row>
    <row r="126" ht="15.75" customHeight="1">
      <c r="K126" s="134"/>
    </row>
    <row r="127" ht="15.75" customHeight="1">
      <c r="K127" s="134"/>
    </row>
    <row r="128" ht="15.75" customHeight="1">
      <c r="K128" s="134"/>
    </row>
    <row r="129" ht="15.75" customHeight="1">
      <c r="K129" s="134"/>
    </row>
    <row r="130" ht="15.75" customHeight="1">
      <c r="K130" s="134"/>
    </row>
    <row r="131" ht="15.75" customHeight="1">
      <c r="K131" s="134"/>
    </row>
    <row r="132" ht="15.75" customHeight="1">
      <c r="K132" s="134"/>
    </row>
    <row r="133" ht="15.75" customHeight="1">
      <c r="K133" s="134"/>
    </row>
    <row r="134" ht="15.75" customHeight="1">
      <c r="K134" s="134"/>
    </row>
    <row r="135" ht="15.75" customHeight="1">
      <c r="K135" s="134"/>
    </row>
    <row r="136" ht="15.75" customHeight="1">
      <c r="K136" s="134"/>
    </row>
    <row r="137" ht="15.75" customHeight="1">
      <c r="K137" s="134"/>
    </row>
    <row r="138" ht="15.75" customHeight="1">
      <c r="K138" s="134"/>
    </row>
    <row r="139" ht="15.75" customHeight="1">
      <c r="K139" s="134"/>
    </row>
    <row r="140" ht="15.75" customHeight="1">
      <c r="K140" s="134"/>
    </row>
    <row r="141" ht="15.75" customHeight="1">
      <c r="K141" s="134"/>
    </row>
    <row r="142" ht="15.75" customHeight="1">
      <c r="K142" s="134"/>
    </row>
    <row r="143" ht="15.75" customHeight="1">
      <c r="K143" s="134"/>
    </row>
    <row r="144" ht="15.75" customHeight="1">
      <c r="K144" s="134"/>
    </row>
    <row r="145" ht="15.75" customHeight="1">
      <c r="K145" s="134"/>
    </row>
    <row r="146" ht="15.75" customHeight="1">
      <c r="K146" s="134"/>
    </row>
    <row r="147" ht="15.75" customHeight="1">
      <c r="K147" s="134"/>
    </row>
    <row r="148" ht="15.75" customHeight="1">
      <c r="K148" s="134"/>
    </row>
    <row r="149" ht="15.75" customHeight="1">
      <c r="K149" s="134"/>
    </row>
    <row r="150" ht="15.75" customHeight="1">
      <c r="K150" s="134"/>
    </row>
    <row r="151" ht="15.75" customHeight="1">
      <c r="K151" s="134"/>
    </row>
    <row r="152" ht="15.75" customHeight="1">
      <c r="K152" s="134"/>
    </row>
    <row r="153" ht="15.75" customHeight="1">
      <c r="K153" s="134"/>
    </row>
    <row r="154" ht="15.75" customHeight="1">
      <c r="K154" s="134"/>
    </row>
    <row r="155" ht="15.75" customHeight="1">
      <c r="K155" s="134"/>
    </row>
    <row r="156" ht="15.75" customHeight="1">
      <c r="K156" s="134"/>
    </row>
    <row r="157" ht="15.75" customHeight="1">
      <c r="K157" s="134"/>
    </row>
    <row r="158" ht="15.75" customHeight="1">
      <c r="K158" s="134"/>
    </row>
    <row r="159" ht="15.75" customHeight="1">
      <c r="K159" s="134"/>
    </row>
    <row r="160" ht="15.75" customHeight="1">
      <c r="K160" s="134"/>
    </row>
    <row r="161" ht="15.75" customHeight="1">
      <c r="K161" s="134"/>
    </row>
    <row r="162" ht="15.75" customHeight="1">
      <c r="K162" s="134"/>
    </row>
    <row r="163" ht="15.75" customHeight="1">
      <c r="K163" s="134"/>
    </row>
    <row r="164" ht="15.75" customHeight="1">
      <c r="K164" s="134"/>
    </row>
    <row r="165" ht="15.75" customHeight="1">
      <c r="K165" s="134"/>
    </row>
    <row r="166" ht="15.75" customHeight="1">
      <c r="K166" s="134"/>
    </row>
    <row r="167" ht="15.75" customHeight="1">
      <c r="K167" s="134"/>
    </row>
    <row r="168" ht="15.75" customHeight="1">
      <c r="K168" s="134"/>
    </row>
    <row r="169" ht="15.75" customHeight="1">
      <c r="K169" s="134"/>
    </row>
    <row r="170" ht="15.75" customHeight="1">
      <c r="K170" s="134"/>
    </row>
    <row r="171" ht="15.75" customHeight="1">
      <c r="K171" s="134"/>
    </row>
    <row r="172" ht="15.75" customHeight="1">
      <c r="K172" s="134"/>
    </row>
    <row r="173" ht="15.75" customHeight="1">
      <c r="K173" s="134"/>
    </row>
    <row r="174" ht="15.75" customHeight="1">
      <c r="K174" s="134"/>
    </row>
    <row r="175" ht="15.75" customHeight="1">
      <c r="K175" s="134"/>
    </row>
    <row r="176" ht="15.75" customHeight="1">
      <c r="K176" s="134"/>
    </row>
    <row r="177" ht="15.75" customHeight="1">
      <c r="K177" s="134"/>
    </row>
    <row r="178" ht="15.75" customHeight="1">
      <c r="K178" s="134"/>
    </row>
    <row r="179" ht="15.75" customHeight="1">
      <c r="K179" s="134"/>
    </row>
    <row r="180" ht="15.75" customHeight="1">
      <c r="K180" s="134"/>
    </row>
    <row r="181" ht="15.75" customHeight="1">
      <c r="K181" s="134"/>
    </row>
    <row r="182" ht="15.75" customHeight="1">
      <c r="K182" s="134"/>
    </row>
    <row r="183" ht="15.75" customHeight="1">
      <c r="K183" s="134"/>
    </row>
    <row r="184" ht="15.75" customHeight="1">
      <c r="K184" s="134"/>
    </row>
    <row r="185" ht="15.75" customHeight="1">
      <c r="K185" s="134"/>
    </row>
    <row r="186" ht="15.75" customHeight="1">
      <c r="K186" s="134"/>
    </row>
    <row r="187" ht="15.75" customHeight="1">
      <c r="K187" s="134"/>
    </row>
    <row r="188" ht="15.75" customHeight="1">
      <c r="K188" s="134"/>
    </row>
    <row r="189" ht="15.75" customHeight="1">
      <c r="K189" s="134"/>
    </row>
    <row r="190" ht="15.75" customHeight="1">
      <c r="K190" s="134"/>
    </row>
    <row r="191" ht="15.75" customHeight="1">
      <c r="K191" s="134"/>
    </row>
    <row r="192" ht="15.75" customHeight="1">
      <c r="K192" s="134"/>
    </row>
    <row r="193" ht="15.75" customHeight="1">
      <c r="K193" s="134"/>
    </row>
    <row r="194" ht="15.75" customHeight="1">
      <c r="K194" s="134"/>
    </row>
    <row r="195" ht="15.75" customHeight="1">
      <c r="K195" s="134"/>
    </row>
    <row r="196" ht="15.75" customHeight="1">
      <c r="K196" s="134"/>
    </row>
    <row r="197" ht="15.75" customHeight="1">
      <c r="K197" s="134"/>
    </row>
    <row r="198" ht="15.75" customHeight="1">
      <c r="K198" s="134"/>
    </row>
    <row r="199" ht="15.75" customHeight="1">
      <c r="K199" s="134"/>
    </row>
    <row r="200" ht="15.75" customHeight="1">
      <c r="K200" s="134"/>
    </row>
    <row r="201" ht="15.75" customHeight="1">
      <c r="K201" s="134"/>
    </row>
    <row r="202" ht="15.75" customHeight="1">
      <c r="K202" s="134"/>
    </row>
    <row r="203" ht="15.75" customHeight="1">
      <c r="K203" s="134"/>
    </row>
    <row r="204" ht="15.75" customHeight="1">
      <c r="K204" s="134"/>
    </row>
    <row r="205" ht="15.75" customHeight="1">
      <c r="K205" s="134"/>
    </row>
    <row r="206" ht="15.75" customHeight="1">
      <c r="K206" s="134"/>
    </row>
    <row r="207" ht="15.75" customHeight="1">
      <c r="K207" s="134"/>
    </row>
    <row r="208" ht="15.75" customHeight="1">
      <c r="K208" s="134"/>
    </row>
    <row r="209" ht="15.75" customHeight="1">
      <c r="K209" s="134"/>
    </row>
    <row r="210" ht="15.75" customHeight="1">
      <c r="K210" s="134"/>
    </row>
    <row r="211" ht="15.75" customHeight="1">
      <c r="K211" s="134"/>
    </row>
    <row r="212" ht="15.75" customHeight="1">
      <c r="K212" s="134"/>
    </row>
    <row r="213" ht="15.75" customHeight="1">
      <c r="K213" s="134"/>
    </row>
    <row r="214" ht="15.75" customHeight="1">
      <c r="K214" s="134"/>
    </row>
    <row r="215" ht="15.75" customHeight="1">
      <c r="K215" s="134"/>
    </row>
    <row r="216" ht="15.75" customHeight="1">
      <c r="K216" s="134"/>
    </row>
    <row r="217" ht="15.75" customHeight="1">
      <c r="K217" s="134"/>
    </row>
    <row r="218" ht="15.75" customHeight="1">
      <c r="K218" s="134"/>
    </row>
    <row r="219" ht="15.75" customHeight="1">
      <c r="K219" s="134"/>
    </row>
    <row r="220" ht="15.75" customHeight="1">
      <c r="K220" s="134"/>
    </row>
    <row r="221" ht="15.75" customHeight="1">
      <c r="K221" s="134"/>
    </row>
    <row r="222" ht="15.75" customHeight="1">
      <c r="K222" s="134"/>
    </row>
    <row r="223" ht="15.75" customHeight="1">
      <c r="K223" s="134"/>
    </row>
    <row r="224" ht="15.75" customHeight="1">
      <c r="K224" s="134"/>
    </row>
    <row r="225" ht="15.75" customHeight="1">
      <c r="K225" s="134"/>
    </row>
    <row r="226" ht="15.75" customHeight="1">
      <c r="K226" s="134"/>
    </row>
    <row r="227" ht="15.75" customHeight="1">
      <c r="K227" s="134"/>
    </row>
    <row r="228" ht="15.75" customHeight="1">
      <c r="K228" s="134"/>
    </row>
    <row r="229" ht="15.75" customHeight="1">
      <c r="K229" s="134"/>
    </row>
    <row r="230" ht="15.75" customHeight="1">
      <c r="K230" s="134"/>
    </row>
    <row r="231" ht="15.75" customHeight="1">
      <c r="K231" s="134"/>
    </row>
    <row r="232" ht="15.75" customHeight="1">
      <c r="K232" s="134"/>
    </row>
    <row r="233" ht="15.75" customHeight="1">
      <c r="K233" s="134"/>
    </row>
    <row r="234" ht="15.75" customHeight="1">
      <c r="K234" s="134"/>
    </row>
    <row r="235" ht="15.75" customHeight="1">
      <c r="K235" s="134"/>
    </row>
    <row r="236" ht="15.75" customHeight="1">
      <c r="K236" s="134"/>
    </row>
    <row r="237" ht="15.75" customHeight="1">
      <c r="K237" s="134"/>
    </row>
    <row r="238" ht="15.75" customHeight="1">
      <c r="K238" s="134"/>
    </row>
    <row r="239" ht="15.75" customHeight="1">
      <c r="K239" s="134"/>
    </row>
    <row r="240" ht="15.75" customHeight="1">
      <c r="K240" s="134"/>
    </row>
    <row r="241" ht="15.75" customHeight="1">
      <c r="K241" s="134"/>
    </row>
    <row r="242" ht="15.75" customHeight="1">
      <c r="K242" s="134"/>
    </row>
    <row r="243" ht="15.75" customHeight="1">
      <c r="K243" s="134"/>
    </row>
    <row r="244" ht="15.75" customHeight="1">
      <c r="K244" s="134"/>
    </row>
    <row r="245" ht="15.75" customHeight="1">
      <c r="K245" s="134"/>
    </row>
    <row r="246" ht="15.75" customHeight="1">
      <c r="K246" s="134"/>
    </row>
    <row r="247" ht="15.75" customHeight="1">
      <c r="K247" s="134"/>
    </row>
    <row r="248" ht="15.75" customHeight="1">
      <c r="K248" s="134"/>
    </row>
    <row r="249" ht="15.75" customHeight="1">
      <c r="K249" s="134"/>
    </row>
    <row r="250" ht="15.75" customHeight="1">
      <c r="K250" s="134"/>
    </row>
    <row r="251" ht="15.75" customHeight="1">
      <c r="K251" s="134"/>
    </row>
    <row r="252" ht="15.75" customHeight="1">
      <c r="K252" s="134"/>
    </row>
    <row r="253" ht="15.75" customHeight="1">
      <c r="K253" s="134"/>
    </row>
    <row r="254" ht="15.75" customHeight="1">
      <c r="K254" s="134"/>
    </row>
    <row r="255" ht="15.75" customHeight="1">
      <c r="K255" s="134"/>
    </row>
    <row r="256" ht="15.75" customHeight="1">
      <c r="K256" s="134"/>
    </row>
    <row r="257" ht="15.75" customHeight="1">
      <c r="K257" s="134"/>
    </row>
    <row r="258" ht="15.75" customHeight="1">
      <c r="K258" s="134"/>
    </row>
    <row r="259" ht="15.75" customHeight="1">
      <c r="K259" s="134"/>
    </row>
    <row r="260" ht="15.75" customHeight="1">
      <c r="K260" s="134"/>
    </row>
    <row r="261" ht="15.75" customHeight="1">
      <c r="K261" s="134"/>
    </row>
    <row r="262" ht="15.75" customHeight="1">
      <c r="K262" s="134"/>
    </row>
    <row r="263" ht="15.75" customHeight="1">
      <c r="K263" s="134"/>
    </row>
    <row r="264" ht="15.75" customHeight="1">
      <c r="K264" s="134"/>
    </row>
    <row r="265" ht="15.75" customHeight="1">
      <c r="K265" s="134"/>
    </row>
    <row r="266" ht="15.75" customHeight="1">
      <c r="K266" s="134"/>
    </row>
    <row r="267" ht="15.75" customHeight="1">
      <c r="K267" s="134"/>
    </row>
    <row r="268" ht="15.75" customHeight="1">
      <c r="K268" s="134"/>
    </row>
    <row r="269" ht="15.75" customHeight="1">
      <c r="K269" s="134"/>
    </row>
    <row r="270" ht="15.75" customHeight="1">
      <c r="K270" s="134"/>
    </row>
    <row r="271" ht="15.75" customHeight="1">
      <c r="K271" s="134"/>
    </row>
    <row r="272" ht="15.75" customHeight="1">
      <c r="K272" s="134"/>
    </row>
    <row r="273" ht="15.75" customHeight="1">
      <c r="K273" s="134"/>
    </row>
    <row r="274" ht="15.75" customHeight="1">
      <c r="K274" s="134"/>
    </row>
    <row r="275" ht="15.75" customHeight="1">
      <c r="K275" s="134"/>
    </row>
    <row r="276" ht="15.75" customHeight="1">
      <c r="K276" s="134"/>
    </row>
    <row r="277" ht="15.75" customHeight="1">
      <c r="K277" s="134"/>
    </row>
    <row r="278" ht="15.75" customHeight="1">
      <c r="K278" s="134"/>
    </row>
    <row r="279" ht="15.75" customHeight="1">
      <c r="K279" s="134"/>
    </row>
    <row r="280" ht="15.75" customHeight="1">
      <c r="K280" s="134"/>
    </row>
    <row r="281" ht="15.75" customHeight="1">
      <c r="K281" s="134"/>
    </row>
    <row r="282" ht="15.75" customHeight="1">
      <c r="K282" s="134"/>
    </row>
    <row r="283" ht="15.75" customHeight="1">
      <c r="K283" s="134"/>
    </row>
    <row r="284" ht="15.75" customHeight="1">
      <c r="K284" s="134"/>
    </row>
    <row r="285" ht="15.75" customHeight="1">
      <c r="K285" s="134"/>
    </row>
    <row r="286" ht="15.75" customHeight="1">
      <c r="K286" s="134"/>
    </row>
    <row r="287" ht="15.75" customHeight="1">
      <c r="K287" s="134"/>
    </row>
    <row r="288" ht="15.75" customHeight="1">
      <c r="K288" s="134"/>
    </row>
    <row r="289" ht="15.75" customHeight="1">
      <c r="K289" s="134"/>
    </row>
    <row r="290" ht="15.75" customHeight="1">
      <c r="K290" s="134"/>
    </row>
    <row r="291" ht="15.75" customHeight="1">
      <c r="K291" s="134"/>
    </row>
    <row r="292" ht="15.75" customHeight="1">
      <c r="K292" s="134"/>
    </row>
    <row r="293" ht="15.75" customHeight="1">
      <c r="K293" s="134"/>
    </row>
    <row r="294" ht="15.75" customHeight="1">
      <c r="K294" s="134"/>
    </row>
    <row r="295" ht="15.75" customHeight="1">
      <c r="K295" s="134"/>
    </row>
    <row r="296" ht="15.75" customHeight="1">
      <c r="K296" s="134"/>
    </row>
    <row r="297" ht="15.75" customHeight="1">
      <c r="K297" s="134"/>
    </row>
    <row r="298" ht="15.75" customHeight="1">
      <c r="K298" s="134"/>
    </row>
    <row r="299" ht="15.75" customHeight="1">
      <c r="K299" s="134"/>
    </row>
    <row r="300" ht="15.75" customHeight="1">
      <c r="K300" s="134"/>
    </row>
    <row r="301" ht="15.75" customHeight="1">
      <c r="K301" s="134"/>
    </row>
    <row r="302" ht="15.75" customHeight="1">
      <c r="K302" s="134"/>
    </row>
    <row r="303" ht="15.75" customHeight="1">
      <c r="K303" s="134"/>
    </row>
    <row r="304" ht="15.75" customHeight="1">
      <c r="K304" s="134"/>
    </row>
    <row r="305" ht="15.75" customHeight="1">
      <c r="K305" s="134"/>
    </row>
    <row r="306" ht="15.75" customHeight="1">
      <c r="K306" s="134"/>
    </row>
    <row r="307" ht="15.75" customHeight="1">
      <c r="K307" s="134"/>
    </row>
    <row r="308" ht="15.75" customHeight="1">
      <c r="K308" s="134"/>
    </row>
    <row r="309" ht="15.75" customHeight="1">
      <c r="K309" s="134"/>
    </row>
    <row r="310" ht="15.75" customHeight="1">
      <c r="K310" s="134"/>
    </row>
    <row r="311" ht="15.75" customHeight="1">
      <c r="K311" s="134"/>
    </row>
    <row r="312" ht="15.75" customHeight="1">
      <c r="K312" s="134"/>
    </row>
    <row r="313" ht="15.75" customHeight="1">
      <c r="K313" s="134"/>
    </row>
    <row r="314" ht="15.75" customHeight="1">
      <c r="K314" s="134"/>
    </row>
    <row r="315" ht="15.75" customHeight="1">
      <c r="K315" s="134"/>
    </row>
    <row r="316" ht="15.75" customHeight="1">
      <c r="K316" s="134"/>
    </row>
    <row r="317" ht="15.75" customHeight="1">
      <c r="K317" s="134"/>
    </row>
    <row r="318" ht="15.75" customHeight="1">
      <c r="K318" s="134"/>
    </row>
    <row r="319" ht="15.75" customHeight="1">
      <c r="K319" s="134"/>
    </row>
    <row r="320" ht="15.75" customHeight="1">
      <c r="K320" s="134"/>
    </row>
    <row r="321" ht="15.75" customHeight="1">
      <c r="K321" s="134"/>
    </row>
    <row r="322" ht="15.75" customHeight="1">
      <c r="K322" s="134"/>
    </row>
    <row r="323" ht="15.75" customHeight="1">
      <c r="K323" s="134"/>
    </row>
    <row r="324" ht="15.75" customHeight="1">
      <c r="K324" s="134"/>
    </row>
    <row r="325" ht="15.75" customHeight="1">
      <c r="K325" s="134"/>
    </row>
    <row r="326" ht="15.75" customHeight="1">
      <c r="K326" s="134"/>
    </row>
    <row r="327" ht="15.75" customHeight="1">
      <c r="K327" s="134"/>
    </row>
    <row r="328" ht="15.75" customHeight="1">
      <c r="K328" s="134"/>
    </row>
    <row r="329" ht="15.75" customHeight="1">
      <c r="K329" s="134"/>
    </row>
    <row r="330" ht="15.75" customHeight="1">
      <c r="K330" s="134"/>
    </row>
    <row r="331" ht="15.75" customHeight="1">
      <c r="K331" s="134"/>
    </row>
    <row r="332" ht="15.75" customHeight="1">
      <c r="K332" s="134"/>
    </row>
    <row r="333" ht="15.75" customHeight="1">
      <c r="K333" s="134"/>
    </row>
    <row r="334" ht="15.75" customHeight="1">
      <c r="K334" s="134"/>
    </row>
    <row r="335" ht="15.75" customHeight="1">
      <c r="K335" s="134"/>
    </row>
    <row r="336" ht="15.75" customHeight="1">
      <c r="K336" s="134"/>
    </row>
    <row r="337" ht="15.75" customHeight="1">
      <c r="K337" s="134"/>
    </row>
    <row r="338" ht="15.75" customHeight="1">
      <c r="K338" s="134"/>
    </row>
    <row r="339" ht="15.75" customHeight="1">
      <c r="K339" s="134"/>
    </row>
    <row r="340" ht="15.75" customHeight="1">
      <c r="K340" s="134"/>
    </row>
    <row r="341" ht="15.75" customHeight="1">
      <c r="K341" s="134"/>
    </row>
    <row r="342" ht="15.75" customHeight="1">
      <c r="K342" s="134"/>
    </row>
    <row r="343" ht="15.75" customHeight="1">
      <c r="K343" s="134"/>
    </row>
    <row r="344" ht="15.75" customHeight="1">
      <c r="K344" s="134"/>
    </row>
    <row r="345" ht="15.75" customHeight="1">
      <c r="K345" s="134"/>
    </row>
    <row r="346" ht="15.75" customHeight="1">
      <c r="K346" s="134"/>
    </row>
    <row r="347" ht="15.75" customHeight="1">
      <c r="K347" s="134"/>
    </row>
    <row r="348" ht="15.75" customHeight="1">
      <c r="K348" s="134"/>
    </row>
    <row r="349" ht="15.75" customHeight="1">
      <c r="K349" s="134"/>
    </row>
    <row r="350" ht="15.75" customHeight="1">
      <c r="K350" s="134"/>
    </row>
    <row r="351" ht="15.75" customHeight="1">
      <c r="K351" s="134"/>
    </row>
    <row r="352" ht="15.75" customHeight="1">
      <c r="K352" s="134"/>
    </row>
    <row r="353" ht="15.75" customHeight="1">
      <c r="K353" s="134"/>
    </row>
    <row r="354" ht="15.75" customHeight="1">
      <c r="K354" s="134"/>
    </row>
    <row r="355" ht="15.75" customHeight="1">
      <c r="K355" s="134"/>
    </row>
    <row r="356" ht="15.75" customHeight="1">
      <c r="K356" s="134"/>
    </row>
    <row r="357" ht="15.75" customHeight="1">
      <c r="K357" s="134"/>
    </row>
    <row r="358" ht="15.75" customHeight="1">
      <c r="K358" s="134"/>
    </row>
    <row r="359" ht="15.75" customHeight="1">
      <c r="K359" s="134"/>
    </row>
    <row r="360" ht="15.75" customHeight="1">
      <c r="K360" s="134"/>
    </row>
    <row r="361" ht="15.75" customHeight="1">
      <c r="K361" s="134"/>
    </row>
    <row r="362" ht="15.75" customHeight="1">
      <c r="K362" s="134"/>
    </row>
    <row r="363" ht="15.75" customHeight="1">
      <c r="K363" s="134"/>
    </row>
    <row r="364" ht="15.75" customHeight="1">
      <c r="K364" s="134"/>
    </row>
    <row r="365" ht="15.75" customHeight="1">
      <c r="K365" s="134"/>
    </row>
    <row r="366" ht="15.75" customHeight="1">
      <c r="K366" s="134"/>
    </row>
    <row r="367" ht="15.75" customHeight="1">
      <c r="K367" s="134"/>
    </row>
    <row r="368" ht="15.75" customHeight="1">
      <c r="K368" s="134"/>
    </row>
    <row r="369" ht="15.75" customHeight="1">
      <c r="K369" s="134"/>
    </row>
    <row r="370" ht="15.75" customHeight="1">
      <c r="K370" s="134"/>
    </row>
    <row r="371" ht="15.75" customHeight="1">
      <c r="K371" s="134"/>
    </row>
    <row r="372" ht="15.75" customHeight="1">
      <c r="K372" s="134"/>
    </row>
    <row r="373" ht="15.75" customHeight="1">
      <c r="K373" s="134"/>
    </row>
    <row r="374" ht="15.75" customHeight="1">
      <c r="K374" s="134"/>
    </row>
    <row r="375" ht="15.75" customHeight="1">
      <c r="K375" s="134"/>
    </row>
    <row r="376" ht="15.75" customHeight="1">
      <c r="K376" s="134"/>
    </row>
    <row r="377" ht="15.75" customHeight="1">
      <c r="K377" s="134"/>
    </row>
    <row r="378" ht="15.75" customHeight="1">
      <c r="K378" s="134"/>
    </row>
    <row r="379" ht="15.75" customHeight="1">
      <c r="K379" s="134"/>
    </row>
    <row r="380" ht="15.75" customHeight="1">
      <c r="K380" s="134"/>
    </row>
    <row r="381" ht="15.75" customHeight="1">
      <c r="K381" s="134"/>
    </row>
    <row r="382" ht="15.75" customHeight="1">
      <c r="K382" s="134"/>
    </row>
    <row r="383" ht="15.75" customHeight="1">
      <c r="K383" s="134"/>
    </row>
    <row r="384" ht="15.75" customHeight="1">
      <c r="K384" s="134"/>
    </row>
    <row r="385" ht="15.75" customHeight="1">
      <c r="K385" s="134"/>
    </row>
    <row r="386" ht="15.75" customHeight="1">
      <c r="K386" s="134"/>
    </row>
    <row r="387" ht="15.75" customHeight="1">
      <c r="K387" s="134"/>
    </row>
    <row r="388" ht="15.75" customHeight="1">
      <c r="K388" s="134"/>
    </row>
    <row r="389" ht="15.75" customHeight="1">
      <c r="K389" s="134"/>
    </row>
    <row r="390" ht="15.75" customHeight="1">
      <c r="K390" s="134"/>
    </row>
    <row r="391" ht="15.75" customHeight="1">
      <c r="K391" s="134"/>
    </row>
    <row r="392" ht="15.75" customHeight="1">
      <c r="K392" s="134"/>
    </row>
    <row r="393" ht="15.75" customHeight="1">
      <c r="K393" s="134"/>
    </row>
    <row r="394" ht="15.75" customHeight="1">
      <c r="K394" s="134"/>
    </row>
    <row r="395" ht="15.75" customHeight="1">
      <c r="K395" s="134"/>
    </row>
    <row r="396" ht="15.75" customHeight="1">
      <c r="K396" s="134"/>
    </row>
    <row r="397" ht="15.75" customHeight="1">
      <c r="K397" s="134"/>
    </row>
    <row r="398" ht="15.75" customHeight="1">
      <c r="K398" s="134"/>
    </row>
    <row r="399" ht="15.75" customHeight="1">
      <c r="K399" s="134"/>
    </row>
    <row r="400" ht="15.75" customHeight="1">
      <c r="K400" s="134"/>
    </row>
    <row r="401" ht="15.75" customHeight="1">
      <c r="K401" s="134"/>
    </row>
    <row r="402" ht="15.75" customHeight="1">
      <c r="K402" s="134"/>
    </row>
    <row r="403" ht="15.75" customHeight="1">
      <c r="K403" s="134"/>
    </row>
    <row r="404" ht="15.75" customHeight="1">
      <c r="K404" s="134"/>
    </row>
    <row r="405" ht="15.75" customHeight="1">
      <c r="K405" s="134"/>
    </row>
    <row r="406" ht="15.75" customHeight="1">
      <c r="K406" s="134"/>
    </row>
    <row r="407" ht="15.75" customHeight="1">
      <c r="K407" s="134"/>
    </row>
    <row r="408" ht="15.75" customHeight="1">
      <c r="K408" s="134"/>
    </row>
    <row r="409" ht="15.75" customHeight="1">
      <c r="K409" s="134"/>
    </row>
    <row r="410" ht="15.75" customHeight="1">
      <c r="K410" s="134"/>
    </row>
    <row r="411" ht="15.75" customHeight="1">
      <c r="K411" s="134"/>
    </row>
    <row r="412" ht="15.75" customHeight="1">
      <c r="K412" s="134"/>
    </row>
    <row r="413" ht="15.75" customHeight="1">
      <c r="K413" s="134"/>
    </row>
    <row r="414" ht="15.75" customHeight="1">
      <c r="K414" s="134"/>
    </row>
    <row r="415" ht="15.75" customHeight="1">
      <c r="K415" s="134"/>
    </row>
    <row r="416" ht="15.75" customHeight="1">
      <c r="K416" s="134"/>
    </row>
    <row r="417" ht="15.75" customHeight="1">
      <c r="K417" s="134"/>
    </row>
    <row r="418" ht="15.75" customHeight="1">
      <c r="K418" s="134"/>
    </row>
    <row r="419" ht="15.75" customHeight="1">
      <c r="K419" s="134"/>
    </row>
    <row r="420" ht="15.75" customHeight="1">
      <c r="K420" s="134"/>
    </row>
    <row r="421" ht="15.75" customHeight="1">
      <c r="K421" s="134"/>
    </row>
    <row r="422" ht="15.75" customHeight="1">
      <c r="K422" s="134"/>
    </row>
    <row r="423" ht="15.75" customHeight="1">
      <c r="K423" s="134"/>
    </row>
    <row r="424" ht="15.75" customHeight="1">
      <c r="K424" s="134"/>
    </row>
    <row r="425" ht="15.75" customHeight="1">
      <c r="K425" s="134"/>
    </row>
    <row r="426" ht="15.75" customHeight="1">
      <c r="K426" s="134"/>
    </row>
    <row r="427" ht="15.75" customHeight="1">
      <c r="K427" s="134"/>
    </row>
    <row r="428" ht="15.75" customHeight="1">
      <c r="K428" s="134"/>
    </row>
    <row r="429" ht="15.75" customHeight="1">
      <c r="K429" s="134"/>
    </row>
    <row r="430" ht="15.75" customHeight="1">
      <c r="K430" s="134"/>
    </row>
    <row r="431" ht="15.75" customHeight="1">
      <c r="K431" s="134"/>
    </row>
    <row r="432" ht="15.75" customHeight="1">
      <c r="K432" s="134"/>
    </row>
    <row r="433" ht="15.75" customHeight="1">
      <c r="K433" s="134"/>
    </row>
    <row r="434" ht="15.75" customHeight="1">
      <c r="K434" s="134"/>
    </row>
    <row r="435" ht="15.75" customHeight="1">
      <c r="K435" s="134"/>
    </row>
    <row r="436" ht="15.75" customHeight="1">
      <c r="K436" s="134"/>
    </row>
    <row r="437" ht="15.75" customHeight="1">
      <c r="K437" s="134"/>
    </row>
    <row r="438" ht="15.75" customHeight="1">
      <c r="K438" s="134"/>
    </row>
    <row r="439" ht="15.75" customHeight="1">
      <c r="K439" s="134"/>
    </row>
    <row r="440" ht="15.75" customHeight="1">
      <c r="K440" s="134"/>
    </row>
    <row r="441" ht="15.75" customHeight="1">
      <c r="K441" s="134"/>
    </row>
    <row r="442" ht="15.75" customHeight="1">
      <c r="K442" s="134"/>
    </row>
    <row r="443" ht="15.75" customHeight="1">
      <c r="K443" s="134"/>
    </row>
    <row r="444" ht="15.75" customHeight="1">
      <c r="K444" s="134"/>
    </row>
    <row r="445" ht="15.75" customHeight="1">
      <c r="K445" s="134"/>
    </row>
    <row r="446" ht="15.75" customHeight="1">
      <c r="K446" s="134"/>
    </row>
    <row r="447" ht="15.75" customHeight="1">
      <c r="K447" s="134"/>
    </row>
    <row r="448" ht="15.75" customHeight="1">
      <c r="K448" s="134"/>
    </row>
    <row r="449" ht="15.75" customHeight="1">
      <c r="K449" s="134"/>
    </row>
    <row r="450" ht="15.75" customHeight="1">
      <c r="K450" s="134"/>
    </row>
    <row r="451" ht="15.75" customHeight="1">
      <c r="K451" s="134"/>
    </row>
    <row r="452" ht="15.75" customHeight="1">
      <c r="K452" s="134"/>
    </row>
    <row r="453" ht="15.75" customHeight="1">
      <c r="K453" s="134"/>
    </row>
    <row r="454" ht="15.75" customHeight="1">
      <c r="K454" s="134"/>
    </row>
    <row r="455" ht="15.75" customHeight="1">
      <c r="K455" s="134"/>
    </row>
    <row r="456" ht="15.75" customHeight="1">
      <c r="K456" s="134"/>
    </row>
    <row r="457" ht="15.75" customHeight="1">
      <c r="K457" s="134"/>
    </row>
    <row r="458" ht="15.75" customHeight="1">
      <c r="K458" s="134"/>
    </row>
    <row r="459" ht="15.75" customHeight="1">
      <c r="K459" s="134"/>
    </row>
    <row r="460" ht="15.75" customHeight="1">
      <c r="K460" s="134"/>
    </row>
    <row r="461" ht="15.75" customHeight="1">
      <c r="K461" s="134"/>
    </row>
    <row r="462" ht="15.75" customHeight="1">
      <c r="K462" s="134"/>
    </row>
    <row r="463" ht="15.75" customHeight="1">
      <c r="K463" s="134"/>
    </row>
    <row r="464" ht="15.75" customHeight="1">
      <c r="K464" s="134"/>
    </row>
    <row r="465" ht="15.75" customHeight="1">
      <c r="K465" s="134"/>
    </row>
    <row r="466" ht="15.75" customHeight="1">
      <c r="K466" s="134"/>
    </row>
    <row r="467" ht="15.75" customHeight="1">
      <c r="K467" s="134"/>
    </row>
    <row r="468" ht="15.75" customHeight="1">
      <c r="K468" s="134"/>
    </row>
    <row r="469" ht="15.75" customHeight="1">
      <c r="K469" s="134"/>
    </row>
    <row r="470" ht="15.75" customHeight="1">
      <c r="K470" s="134"/>
    </row>
    <row r="471" ht="15.75" customHeight="1">
      <c r="K471" s="134"/>
    </row>
    <row r="472" ht="15.75" customHeight="1">
      <c r="K472" s="134"/>
    </row>
    <row r="473" ht="15.75" customHeight="1">
      <c r="K473" s="134"/>
    </row>
    <row r="474" ht="15.75" customHeight="1">
      <c r="K474" s="134"/>
    </row>
    <row r="475" ht="15.75" customHeight="1">
      <c r="K475" s="134"/>
    </row>
    <row r="476" ht="15.75" customHeight="1">
      <c r="K476" s="134"/>
    </row>
    <row r="477" ht="15.75" customHeight="1">
      <c r="K477" s="134"/>
    </row>
    <row r="478" ht="15.75" customHeight="1">
      <c r="K478" s="134"/>
    </row>
    <row r="479" ht="15.75" customHeight="1">
      <c r="K479" s="134"/>
    </row>
    <row r="480" ht="15.75" customHeight="1">
      <c r="K480" s="134"/>
    </row>
    <row r="481" ht="15.75" customHeight="1">
      <c r="K481" s="134"/>
    </row>
    <row r="482" ht="15.75" customHeight="1">
      <c r="K482" s="134"/>
    </row>
    <row r="483" ht="15.75" customHeight="1">
      <c r="K483" s="134"/>
    </row>
    <row r="484" ht="15.75" customHeight="1">
      <c r="K484" s="134"/>
    </row>
    <row r="485" ht="15.75" customHeight="1">
      <c r="K485" s="134"/>
    </row>
    <row r="486" ht="15.75" customHeight="1">
      <c r="K486" s="134"/>
    </row>
    <row r="487" ht="15.75" customHeight="1">
      <c r="K487" s="134"/>
    </row>
    <row r="488" ht="15.75" customHeight="1">
      <c r="K488" s="134"/>
    </row>
    <row r="489" ht="15.75" customHeight="1">
      <c r="K489" s="134"/>
    </row>
    <row r="490" ht="15.75" customHeight="1">
      <c r="K490" s="134"/>
    </row>
    <row r="491" ht="15.75" customHeight="1">
      <c r="K491" s="134"/>
    </row>
    <row r="492" ht="15.75" customHeight="1">
      <c r="K492" s="134"/>
    </row>
    <row r="493" ht="15.75" customHeight="1">
      <c r="K493" s="134"/>
    </row>
    <row r="494" ht="15.75" customHeight="1">
      <c r="K494" s="134"/>
    </row>
    <row r="495" ht="15.75" customHeight="1">
      <c r="K495" s="134"/>
    </row>
    <row r="496" ht="15.75" customHeight="1">
      <c r="K496" s="134"/>
    </row>
    <row r="497" ht="15.75" customHeight="1">
      <c r="K497" s="134"/>
    </row>
    <row r="498" ht="15.75" customHeight="1">
      <c r="K498" s="134"/>
    </row>
    <row r="499" ht="15.75" customHeight="1">
      <c r="K499" s="134"/>
    </row>
    <row r="500" ht="15.75" customHeight="1">
      <c r="K500" s="134"/>
    </row>
    <row r="501" ht="15.75" customHeight="1">
      <c r="K501" s="134"/>
    </row>
    <row r="502" ht="15.75" customHeight="1">
      <c r="K502" s="134"/>
    </row>
    <row r="503" ht="15.75" customHeight="1">
      <c r="K503" s="134"/>
    </row>
    <row r="504" ht="15.75" customHeight="1">
      <c r="K504" s="134"/>
    </row>
    <row r="505" ht="15.75" customHeight="1">
      <c r="K505" s="134"/>
    </row>
    <row r="506" ht="15.75" customHeight="1">
      <c r="K506" s="134"/>
    </row>
    <row r="507" ht="15.75" customHeight="1">
      <c r="K507" s="134"/>
    </row>
    <row r="508" ht="15.75" customHeight="1">
      <c r="K508" s="134"/>
    </row>
    <row r="509" ht="15.75" customHeight="1">
      <c r="K509" s="134"/>
    </row>
    <row r="510" ht="15.75" customHeight="1">
      <c r="K510" s="134"/>
    </row>
    <row r="511" ht="15.75" customHeight="1">
      <c r="K511" s="134"/>
    </row>
    <row r="512" ht="15.75" customHeight="1">
      <c r="K512" s="134"/>
    </row>
    <row r="513" ht="15.75" customHeight="1">
      <c r="K513" s="134"/>
    </row>
    <row r="514" ht="15.75" customHeight="1">
      <c r="K514" s="134"/>
    </row>
    <row r="515" ht="15.75" customHeight="1">
      <c r="K515" s="134"/>
    </row>
    <row r="516" ht="15.75" customHeight="1">
      <c r="K516" s="134"/>
    </row>
    <row r="517" ht="15.75" customHeight="1">
      <c r="K517" s="134"/>
    </row>
    <row r="518" ht="15.75" customHeight="1">
      <c r="K518" s="134"/>
    </row>
    <row r="519" ht="15.75" customHeight="1">
      <c r="K519" s="134"/>
    </row>
    <row r="520" ht="15.75" customHeight="1">
      <c r="K520" s="134"/>
    </row>
    <row r="521" ht="15.75" customHeight="1">
      <c r="K521" s="134"/>
    </row>
    <row r="522" ht="15.75" customHeight="1">
      <c r="K522" s="134"/>
    </row>
    <row r="523" ht="15.75" customHeight="1">
      <c r="K523" s="134"/>
    </row>
    <row r="524" ht="15.75" customHeight="1">
      <c r="K524" s="134"/>
    </row>
    <row r="525" ht="15.75" customHeight="1">
      <c r="K525" s="134"/>
    </row>
    <row r="526" ht="15.75" customHeight="1">
      <c r="K526" s="134"/>
    </row>
    <row r="527" ht="15.75" customHeight="1">
      <c r="K527" s="134"/>
    </row>
    <row r="528" ht="15.75" customHeight="1">
      <c r="K528" s="134"/>
    </row>
    <row r="529" ht="15.75" customHeight="1">
      <c r="K529" s="134"/>
    </row>
    <row r="530" ht="15.75" customHeight="1">
      <c r="K530" s="134"/>
    </row>
    <row r="531" ht="15.75" customHeight="1">
      <c r="K531" s="134"/>
    </row>
    <row r="532" ht="15.75" customHeight="1">
      <c r="K532" s="134"/>
    </row>
    <row r="533" ht="15.75" customHeight="1">
      <c r="K533" s="134"/>
    </row>
    <row r="534" ht="15.75" customHeight="1">
      <c r="K534" s="134"/>
    </row>
    <row r="535" ht="15.75" customHeight="1">
      <c r="K535" s="134"/>
    </row>
    <row r="536" ht="15.75" customHeight="1">
      <c r="K536" s="134"/>
    </row>
    <row r="537" ht="15.75" customHeight="1">
      <c r="K537" s="134"/>
    </row>
    <row r="538" ht="15.75" customHeight="1">
      <c r="K538" s="134"/>
    </row>
    <row r="539" ht="15.75" customHeight="1">
      <c r="K539" s="134"/>
    </row>
    <row r="540" ht="15.75" customHeight="1">
      <c r="K540" s="134"/>
    </row>
    <row r="541" ht="15.75" customHeight="1">
      <c r="K541" s="134"/>
    </row>
    <row r="542" ht="15.75" customHeight="1">
      <c r="K542" s="134"/>
    </row>
    <row r="543" ht="15.75" customHeight="1">
      <c r="K543" s="134"/>
    </row>
    <row r="544" ht="15.75" customHeight="1">
      <c r="K544" s="134"/>
    </row>
    <row r="545" ht="15.75" customHeight="1">
      <c r="K545" s="134"/>
    </row>
    <row r="546" ht="15.75" customHeight="1">
      <c r="K546" s="134"/>
    </row>
    <row r="547" ht="15.75" customHeight="1">
      <c r="K547" s="134"/>
    </row>
    <row r="548" ht="15.75" customHeight="1">
      <c r="K548" s="134"/>
    </row>
    <row r="549" ht="15.75" customHeight="1">
      <c r="K549" s="134"/>
    </row>
    <row r="550" ht="15.75" customHeight="1">
      <c r="K550" s="134"/>
    </row>
    <row r="551" ht="15.75" customHeight="1">
      <c r="K551" s="134"/>
    </row>
    <row r="552" ht="15.75" customHeight="1">
      <c r="K552" s="134"/>
    </row>
    <row r="553" ht="15.75" customHeight="1">
      <c r="K553" s="134"/>
    </row>
    <row r="554" ht="15.75" customHeight="1">
      <c r="K554" s="134"/>
    </row>
    <row r="555" ht="15.75" customHeight="1">
      <c r="K555" s="134"/>
    </row>
    <row r="556" ht="15.75" customHeight="1">
      <c r="K556" s="134"/>
    </row>
    <row r="557" ht="15.75" customHeight="1">
      <c r="K557" s="134"/>
    </row>
    <row r="558" ht="15.75" customHeight="1">
      <c r="K558" s="134"/>
    </row>
    <row r="559" ht="15.75" customHeight="1">
      <c r="K559" s="134"/>
    </row>
    <row r="560" ht="15.75" customHeight="1">
      <c r="K560" s="134"/>
    </row>
    <row r="561" ht="15.75" customHeight="1">
      <c r="K561" s="134"/>
    </row>
    <row r="562" ht="15.75" customHeight="1">
      <c r="K562" s="134"/>
    </row>
    <row r="563" ht="15.75" customHeight="1">
      <c r="K563" s="134"/>
    </row>
    <row r="564" ht="15.75" customHeight="1">
      <c r="K564" s="134"/>
    </row>
    <row r="565" ht="15.75" customHeight="1">
      <c r="K565" s="134"/>
    </row>
    <row r="566" ht="15.75" customHeight="1">
      <c r="K566" s="134"/>
    </row>
    <row r="567" ht="15.75" customHeight="1">
      <c r="K567" s="134"/>
    </row>
    <row r="568" ht="15.75" customHeight="1">
      <c r="K568" s="134"/>
    </row>
    <row r="569" ht="15.75" customHeight="1">
      <c r="K569" s="134"/>
    </row>
    <row r="570" ht="15.75" customHeight="1">
      <c r="K570" s="134"/>
    </row>
    <row r="571" ht="15.75" customHeight="1">
      <c r="K571" s="134"/>
    </row>
    <row r="572" ht="15.75" customHeight="1">
      <c r="K572" s="134"/>
    </row>
    <row r="573" ht="15.75" customHeight="1">
      <c r="K573" s="134"/>
    </row>
    <row r="574" ht="15.75" customHeight="1">
      <c r="K574" s="134"/>
    </row>
    <row r="575" ht="15.75" customHeight="1">
      <c r="K575" s="134"/>
    </row>
    <row r="576" ht="15.75" customHeight="1">
      <c r="K576" s="134"/>
    </row>
    <row r="577" ht="15.75" customHeight="1">
      <c r="K577" s="134"/>
    </row>
    <row r="578" ht="15.75" customHeight="1">
      <c r="K578" s="134"/>
    </row>
    <row r="579" ht="15.75" customHeight="1">
      <c r="K579" s="134"/>
    </row>
    <row r="580" ht="15.75" customHeight="1">
      <c r="K580" s="134"/>
    </row>
    <row r="581" ht="15.75" customHeight="1">
      <c r="K581" s="134"/>
    </row>
    <row r="582" ht="15.75" customHeight="1">
      <c r="K582" s="134"/>
    </row>
    <row r="583" ht="15.75" customHeight="1">
      <c r="K583" s="134"/>
    </row>
    <row r="584" ht="15.75" customHeight="1">
      <c r="K584" s="134"/>
    </row>
    <row r="585" ht="15.75" customHeight="1">
      <c r="K585" s="134"/>
    </row>
    <row r="586" ht="15.75" customHeight="1">
      <c r="K586" s="134"/>
    </row>
    <row r="587" ht="15.75" customHeight="1">
      <c r="K587" s="134"/>
    </row>
    <row r="588" ht="15.75" customHeight="1">
      <c r="K588" s="134"/>
    </row>
    <row r="589" ht="15.75" customHeight="1">
      <c r="K589" s="134"/>
    </row>
    <row r="590" ht="15.75" customHeight="1">
      <c r="K590" s="134"/>
    </row>
    <row r="591" ht="15.75" customHeight="1">
      <c r="K591" s="134"/>
    </row>
    <row r="592" ht="15.75" customHeight="1">
      <c r="K592" s="134"/>
    </row>
    <row r="593" ht="15.75" customHeight="1">
      <c r="K593" s="134"/>
    </row>
    <row r="594" ht="15.75" customHeight="1">
      <c r="K594" s="134"/>
    </row>
    <row r="595" ht="15.75" customHeight="1">
      <c r="K595" s="134"/>
    </row>
    <row r="596" ht="15.75" customHeight="1">
      <c r="K596" s="134"/>
    </row>
    <row r="597" ht="15.75" customHeight="1">
      <c r="K597" s="134"/>
    </row>
    <row r="598" ht="15.75" customHeight="1">
      <c r="K598" s="134"/>
    </row>
    <row r="599" ht="15.75" customHeight="1">
      <c r="K599" s="134"/>
    </row>
    <row r="600" ht="15.75" customHeight="1">
      <c r="K600" s="134"/>
    </row>
    <row r="601" ht="15.75" customHeight="1">
      <c r="K601" s="134"/>
    </row>
    <row r="602" ht="15.75" customHeight="1">
      <c r="K602" s="134"/>
    </row>
    <row r="603" ht="15.75" customHeight="1">
      <c r="K603" s="134"/>
    </row>
    <row r="604" ht="15.75" customHeight="1">
      <c r="K604" s="134"/>
    </row>
    <row r="605" ht="15.75" customHeight="1">
      <c r="K605" s="134"/>
    </row>
    <row r="606" ht="15.75" customHeight="1">
      <c r="K606" s="134"/>
    </row>
    <row r="607" ht="15.75" customHeight="1">
      <c r="K607" s="134"/>
    </row>
    <row r="608" ht="15.75" customHeight="1">
      <c r="K608" s="134"/>
    </row>
    <row r="609" ht="15.75" customHeight="1">
      <c r="K609" s="134"/>
    </row>
    <row r="610" ht="15.75" customHeight="1">
      <c r="K610" s="134"/>
    </row>
    <row r="611" ht="15.75" customHeight="1">
      <c r="K611" s="134"/>
    </row>
    <row r="612" ht="15.75" customHeight="1">
      <c r="K612" s="134"/>
    </row>
    <row r="613" ht="15.75" customHeight="1">
      <c r="K613" s="134"/>
    </row>
    <row r="614" ht="15.75" customHeight="1">
      <c r="K614" s="134"/>
    </row>
    <row r="615" ht="15.75" customHeight="1">
      <c r="K615" s="134"/>
    </row>
    <row r="616" ht="15.75" customHeight="1">
      <c r="K616" s="134"/>
    </row>
    <row r="617" ht="15.75" customHeight="1">
      <c r="K617" s="134"/>
    </row>
    <row r="618" ht="15.75" customHeight="1">
      <c r="K618" s="134"/>
    </row>
    <row r="619" ht="15.75" customHeight="1">
      <c r="K619" s="134"/>
    </row>
    <row r="620" ht="15.75" customHeight="1">
      <c r="K620" s="134"/>
    </row>
    <row r="621" ht="15.75" customHeight="1">
      <c r="K621" s="134"/>
    </row>
    <row r="622" ht="15.75" customHeight="1">
      <c r="K622" s="134"/>
    </row>
    <row r="623" ht="15.75" customHeight="1">
      <c r="K623" s="134"/>
    </row>
    <row r="624" ht="15.75" customHeight="1">
      <c r="K624" s="134"/>
    </row>
    <row r="625" ht="15.75" customHeight="1">
      <c r="K625" s="134"/>
    </row>
    <row r="626" ht="15.75" customHeight="1">
      <c r="K626" s="134"/>
    </row>
    <row r="627" ht="15.75" customHeight="1">
      <c r="K627" s="134"/>
    </row>
    <row r="628" ht="15.75" customHeight="1">
      <c r="K628" s="134"/>
    </row>
    <row r="629" ht="15.75" customHeight="1">
      <c r="K629" s="134"/>
    </row>
    <row r="630" ht="15.75" customHeight="1">
      <c r="K630" s="134"/>
    </row>
    <row r="631" ht="15.75" customHeight="1">
      <c r="K631" s="134"/>
    </row>
    <row r="632" ht="15.75" customHeight="1">
      <c r="K632" s="134"/>
    </row>
    <row r="633" ht="15.75" customHeight="1">
      <c r="K633" s="134"/>
    </row>
    <row r="634" ht="15.75" customHeight="1">
      <c r="K634" s="134"/>
    </row>
    <row r="635" ht="15.75" customHeight="1">
      <c r="K635" s="134"/>
    </row>
    <row r="636" ht="15.75" customHeight="1">
      <c r="K636" s="134"/>
    </row>
    <row r="637" ht="15.75" customHeight="1">
      <c r="K637" s="134"/>
    </row>
    <row r="638" ht="15.75" customHeight="1">
      <c r="K638" s="134"/>
    </row>
    <row r="639" ht="15.75" customHeight="1">
      <c r="K639" s="134"/>
    </row>
    <row r="640" ht="15.75" customHeight="1">
      <c r="K640" s="134"/>
    </row>
    <row r="641" ht="15.75" customHeight="1">
      <c r="K641" s="134"/>
    </row>
    <row r="642" ht="15.75" customHeight="1">
      <c r="K642" s="134"/>
    </row>
    <row r="643" ht="15.75" customHeight="1">
      <c r="K643" s="134"/>
    </row>
    <row r="644" ht="15.75" customHeight="1">
      <c r="K644" s="134"/>
    </row>
    <row r="645" ht="15.75" customHeight="1">
      <c r="K645" s="134"/>
    </row>
    <row r="646" ht="15.75" customHeight="1">
      <c r="K646" s="134"/>
    </row>
    <row r="647" ht="15.75" customHeight="1">
      <c r="K647" s="134"/>
    </row>
    <row r="648" ht="15.75" customHeight="1">
      <c r="K648" s="134"/>
    </row>
    <row r="649" ht="15.75" customHeight="1">
      <c r="K649" s="134"/>
    </row>
    <row r="650" ht="15.75" customHeight="1">
      <c r="K650" s="134"/>
    </row>
    <row r="651" ht="15.75" customHeight="1">
      <c r="K651" s="134"/>
    </row>
    <row r="652" ht="15.75" customHeight="1">
      <c r="K652" s="134"/>
    </row>
    <row r="653" ht="15.75" customHeight="1">
      <c r="K653" s="134"/>
    </row>
    <row r="654" ht="15.75" customHeight="1">
      <c r="K654" s="134"/>
    </row>
    <row r="655" ht="15.75" customHeight="1">
      <c r="K655" s="134"/>
    </row>
    <row r="656" ht="15.75" customHeight="1">
      <c r="K656" s="134"/>
    </row>
    <row r="657" ht="15.75" customHeight="1">
      <c r="K657" s="134"/>
    </row>
    <row r="658" ht="15.75" customHeight="1">
      <c r="K658" s="134"/>
    </row>
    <row r="659" ht="15.75" customHeight="1">
      <c r="K659" s="134"/>
    </row>
    <row r="660" ht="15.75" customHeight="1">
      <c r="K660" s="134"/>
    </row>
    <row r="661" ht="15.75" customHeight="1">
      <c r="K661" s="134"/>
    </row>
    <row r="662" ht="15.75" customHeight="1">
      <c r="K662" s="134"/>
    </row>
    <row r="663" ht="15.75" customHeight="1">
      <c r="K663" s="134"/>
    </row>
    <row r="664" ht="15.75" customHeight="1">
      <c r="K664" s="134"/>
    </row>
    <row r="665" ht="15.75" customHeight="1">
      <c r="K665" s="134"/>
    </row>
    <row r="666" ht="15.75" customHeight="1">
      <c r="K666" s="134"/>
    </row>
    <row r="667" ht="15.75" customHeight="1">
      <c r="K667" s="134"/>
    </row>
    <row r="668" ht="15.75" customHeight="1">
      <c r="K668" s="134"/>
    </row>
    <row r="669" ht="15.75" customHeight="1">
      <c r="K669" s="134"/>
    </row>
    <row r="670" ht="15.75" customHeight="1">
      <c r="K670" s="134"/>
    </row>
    <row r="671" ht="15.75" customHeight="1">
      <c r="K671" s="134"/>
    </row>
    <row r="672" ht="15.75" customHeight="1">
      <c r="K672" s="134"/>
    </row>
    <row r="673" ht="15.75" customHeight="1">
      <c r="K673" s="134"/>
    </row>
    <row r="674" ht="15.75" customHeight="1">
      <c r="K674" s="134"/>
    </row>
    <row r="675" ht="15.75" customHeight="1">
      <c r="K675" s="134"/>
    </row>
    <row r="676" ht="15.75" customHeight="1">
      <c r="K676" s="134"/>
    </row>
    <row r="677" ht="15.75" customHeight="1">
      <c r="K677" s="134"/>
    </row>
    <row r="678" ht="15.75" customHeight="1">
      <c r="K678" s="134"/>
    </row>
    <row r="679" ht="15.75" customHeight="1">
      <c r="K679" s="134"/>
    </row>
    <row r="680" ht="15.75" customHeight="1">
      <c r="K680" s="134"/>
    </row>
    <row r="681" ht="15.75" customHeight="1">
      <c r="K681" s="134"/>
    </row>
    <row r="682" ht="15.75" customHeight="1">
      <c r="K682" s="134"/>
    </row>
    <row r="683" ht="15.75" customHeight="1">
      <c r="K683" s="134"/>
    </row>
    <row r="684" ht="15.75" customHeight="1">
      <c r="K684" s="134"/>
    </row>
    <row r="685" ht="15.75" customHeight="1">
      <c r="K685" s="134"/>
    </row>
    <row r="686" ht="15.75" customHeight="1">
      <c r="K686" s="134"/>
    </row>
    <row r="687" ht="15.75" customHeight="1">
      <c r="K687" s="134"/>
    </row>
    <row r="688" ht="15.75" customHeight="1">
      <c r="K688" s="134"/>
    </row>
    <row r="689" ht="15.75" customHeight="1">
      <c r="K689" s="134"/>
    </row>
    <row r="690" ht="15.75" customHeight="1">
      <c r="K690" s="134"/>
    </row>
    <row r="691" ht="15.75" customHeight="1">
      <c r="K691" s="134"/>
    </row>
    <row r="692" ht="15.75" customHeight="1">
      <c r="K692" s="134"/>
    </row>
    <row r="693" ht="15.75" customHeight="1">
      <c r="K693" s="134"/>
    </row>
    <row r="694" ht="15.75" customHeight="1">
      <c r="K694" s="134"/>
    </row>
    <row r="695" ht="15.75" customHeight="1">
      <c r="K695" s="134"/>
    </row>
    <row r="696" ht="15.75" customHeight="1">
      <c r="K696" s="134"/>
    </row>
    <row r="697" ht="15.75" customHeight="1">
      <c r="K697" s="134"/>
    </row>
    <row r="698" ht="15.75" customHeight="1">
      <c r="K698" s="134"/>
    </row>
    <row r="699" ht="15.75" customHeight="1">
      <c r="K699" s="134"/>
    </row>
    <row r="700" ht="15.75" customHeight="1">
      <c r="K700" s="134"/>
    </row>
    <row r="701" ht="15.75" customHeight="1">
      <c r="K701" s="134"/>
    </row>
    <row r="702" ht="15.75" customHeight="1">
      <c r="K702" s="134"/>
    </row>
    <row r="703" ht="15.75" customHeight="1">
      <c r="K703" s="134"/>
    </row>
    <row r="704" ht="15.75" customHeight="1">
      <c r="K704" s="134"/>
    </row>
    <row r="705" ht="15.75" customHeight="1">
      <c r="K705" s="134"/>
    </row>
    <row r="706" ht="15.75" customHeight="1">
      <c r="K706" s="134"/>
    </row>
    <row r="707" ht="15.75" customHeight="1">
      <c r="K707" s="134"/>
    </row>
    <row r="708" ht="15.75" customHeight="1">
      <c r="K708" s="134"/>
    </row>
    <row r="709" ht="15.75" customHeight="1">
      <c r="K709" s="134"/>
    </row>
    <row r="710" ht="15.75" customHeight="1">
      <c r="K710" s="134"/>
    </row>
    <row r="711" ht="15.75" customHeight="1">
      <c r="K711" s="134"/>
    </row>
    <row r="712" ht="15.75" customHeight="1">
      <c r="K712" s="134"/>
    </row>
    <row r="713" ht="15.75" customHeight="1">
      <c r="K713" s="134"/>
    </row>
    <row r="714" ht="15.75" customHeight="1">
      <c r="K714" s="134"/>
    </row>
    <row r="715" ht="15.75" customHeight="1">
      <c r="K715" s="134"/>
    </row>
    <row r="716" ht="15.75" customHeight="1">
      <c r="K716" s="134"/>
    </row>
    <row r="717" ht="15.75" customHeight="1">
      <c r="K717" s="134"/>
    </row>
    <row r="718" ht="15.75" customHeight="1">
      <c r="K718" s="134"/>
    </row>
    <row r="719" ht="15.75" customHeight="1">
      <c r="K719" s="134"/>
    </row>
    <row r="720" ht="15.75" customHeight="1">
      <c r="K720" s="134"/>
    </row>
    <row r="721" ht="15.75" customHeight="1">
      <c r="K721" s="134"/>
    </row>
    <row r="722" ht="15.75" customHeight="1">
      <c r="K722" s="134"/>
    </row>
    <row r="723" ht="15.75" customHeight="1">
      <c r="K723" s="134"/>
    </row>
    <row r="724" ht="15.75" customHeight="1">
      <c r="K724" s="134"/>
    </row>
    <row r="725" ht="15.75" customHeight="1">
      <c r="K725" s="134"/>
    </row>
    <row r="726" ht="15.75" customHeight="1">
      <c r="K726" s="134"/>
    </row>
    <row r="727" ht="15.75" customHeight="1">
      <c r="K727" s="134"/>
    </row>
    <row r="728" ht="15.75" customHeight="1">
      <c r="K728" s="134"/>
    </row>
    <row r="729" ht="15.75" customHeight="1">
      <c r="K729" s="134"/>
    </row>
    <row r="730" ht="15.75" customHeight="1">
      <c r="K730" s="134"/>
    </row>
    <row r="731" ht="15.75" customHeight="1">
      <c r="K731" s="134"/>
    </row>
    <row r="732" ht="15.75" customHeight="1">
      <c r="K732" s="134"/>
    </row>
    <row r="733" ht="15.75" customHeight="1">
      <c r="K733" s="134"/>
    </row>
    <row r="734" ht="15.75" customHeight="1">
      <c r="K734" s="134"/>
    </row>
    <row r="735" ht="15.75" customHeight="1">
      <c r="K735" s="134"/>
    </row>
    <row r="736" ht="15.75" customHeight="1">
      <c r="K736" s="134"/>
    </row>
    <row r="737" ht="15.75" customHeight="1">
      <c r="K737" s="134"/>
    </row>
    <row r="738" ht="15.75" customHeight="1">
      <c r="K738" s="134"/>
    </row>
    <row r="739" ht="15.75" customHeight="1">
      <c r="K739" s="134"/>
    </row>
    <row r="740" ht="15.75" customHeight="1">
      <c r="K740" s="134"/>
    </row>
    <row r="741" ht="15.75" customHeight="1">
      <c r="K741" s="134"/>
    </row>
    <row r="742" ht="15.75" customHeight="1">
      <c r="K742" s="134"/>
    </row>
    <row r="743" ht="15.75" customHeight="1">
      <c r="K743" s="134"/>
    </row>
    <row r="744" ht="15.75" customHeight="1">
      <c r="K744" s="134"/>
    </row>
    <row r="745" ht="15.75" customHeight="1">
      <c r="K745" s="134"/>
    </row>
    <row r="746" ht="15.75" customHeight="1">
      <c r="K746" s="134"/>
    </row>
    <row r="747" ht="15.75" customHeight="1">
      <c r="K747" s="134"/>
    </row>
    <row r="748" ht="15.75" customHeight="1">
      <c r="K748" s="134"/>
    </row>
    <row r="749" ht="15.75" customHeight="1">
      <c r="K749" s="134"/>
    </row>
    <row r="750" ht="15.75" customHeight="1">
      <c r="K750" s="134"/>
    </row>
    <row r="751" ht="15.75" customHeight="1">
      <c r="K751" s="134"/>
    </row>
    <row r="752" ht="15.75" customHeight="1">
      <c r="K752" s="134"/>
    </row>
    <row r="753" ht="15.75" customHeight="1">
      <c r="K753" s="134"/>
    </row>
    <row r="754" ht="15.75" customHeight="1">
      <c r="K754" s="134"/>
    </row>
    <row r="755" ht="15.75" customHeight="1">
      <c r="K755" s="134"/>
    </row>
    <row r="756" ht="15.75" customHeight="1">
      <c r="K756" s="134"/>
    </row>
    <row r="757" ht="15.75" customHeight="1">
      <c r="K757" s="134"/>
    </row>
    <row r="758" ht="15.75" customHeight="1">
      <c r="K758" s="134"/>
    </row>
    <row r="759" ht="15.75" customHeight="1">
      <c r="K759" s="134"/>
    </row>
    <row r="760" ht="15.75" customHeight="1">
      <c r="K760" s="134"/>
    </row>
    <row r="761" ht="15.75" customHeight="1">
      <c r="K761" s="134"/>
    </row>
    <row r="762" ht="15.75" customHeight="1">
      <c r="K762" s="134"/>
    </row>
    <row r="763" ht="15.75" customHeight="1">
      <c r="K763" s="134"/>
    </row>
    <row r="764" ht="15.75" customHeight="1">
      <c r="K764" s="134"/>
    </row>
    <row r="765" ht="15.75" customHeight="1">
      <c r="K765" s="134"/>
    </row>
    <row r="766" ht="15.75" customHeight="1">
      <c r="K766" s="134"/>
    </row>
    <row r="767" ht="15.75" customHeight="1">
      <c r="K767" s="134"/>
    </row>
    <row r="768" ht="15.75" customHeight="1">
      <c r="K768" s="134"/>
    </row>
    <row r="769" ht="15.75" customHeight="1">
      <c r="K769" s="134"/>
    </row>
    <row r="770" ht="15.75" customHeight="1">
      <c r="K770" s="134"/>
    </row>
    <row r="771" ht="15.75" customHeight="1">
      <c r="K771" s="134"/>
    </row>
    <row r="772" ht="15.75" customHeight="1">
      <c r="K772" s="134"/>
    </row>
    <row r="773" ht="15.75" customHeight="1">
      <c r="K773" s="134"/>
    </row>
    <row r="774" ht="15.75" customHeight="1">
      <c r="K774" s="134"/>
    </row>
    <row r="775" ht="15.75" customHeight="1">
      <c r="K775" s="134"/>
    </row>
    <row r="776" ht="15.75" customHeight="1">
      <c r="K776" s="134"/>
    </row>
    <row r="777" ht="15.75" customHeight="1">
      <c r="K777" s="134"/>
    </row>
    <row r="778" ht="15.75" customHeight="1">
      <c r="K778" s="134"/>
    </row>
    <row r="779" ht="15.75" customHeight="1">
      <c r="K779" s="134"/>
    </row>
    <row r="780" ht="15.75" customHeight="1">
      <c r="K780" s="134"/>
    </row>
    <row r="781" ht="15.75" customHeight="1">
      <c r="K781" s="134"/>
    </row>
    <row r="782" ht="15.75" customHeight="1">
      <c r="K782" s="134"/>
    </row>
    <row r="783" ht="15.75" customHeight="1">
      <c r="K783" s="134"/>
    </row>
    <row r="784" ht="15.75" customHeight="1">
      <c r="K784" s="134"/>
    </row>
    <row r="785" ht="15.75" customHeight="1">
      <c r="K785" s="134"/>
    </row>
    <row r="786" ht="15.75" customHeight="1">
      <c r="K786" s="134"/>
    </row>
    <row r="787" ht="15.75" customHeight="1">
      <c r="K787" s="134"/>
    </row>
    <row r="788" ht="15.75" customHeight="1">
      <c r="K788" s="134"/>
    </row>
    <row r="789" ht="15.75" customHeight="1">
      <c r="K789" s="134"/>
    </row>
    <row r="790" ht="15.75" customHeight="1">
      <c r="K790" s="134"/>
    </row>
    <row r="791" ht="15.75" customHeight="1">
      <c r="K791" s="134"/>
    </row>
    <row r="792" ht="15.75" customHeight="1">
      <c r="K792" s="134"/>
    </row>
    <row r="793" ht="15.75" customHeight="1">
      <c r="K793" s="134"/>
    </row>
    <row r="794" ht="15.75" customHeight="1">
      <c r="K794" s="134"/>
    </row>
    <row r="795" ht="15.75" customHeight="1">
      <c r="K795" s="134"/>
    </row>
    <row r="796" ht="15.75" customHeight="1">
      <c r="K796" s="134"/>
    </row>
    <row r="797" ht="15.75" customHeight="1">
      <c r="K797" s="134"/>
    </row>
    <row r="798" ht="15.75" customHeight="1">
      <c r="K798" s="134"/>
    </row>
    <row r="799" ht="15.75" customHeight="1">
      <c r="K799" s="134"/>
    </row>
    <row r="800" ht="15.75" customHeight="1">
      <c r="K800" s="134"/>
    </row>
    <row r="801" ht="15.75" customHeight="1">
      <c r="K801" s="134"/>
    </row>
    <row r="802" ht="15.75" customHeight="1">
      <c r="K802" s="134"/>
    </row>
    <row r="803" ht="15.75" customHeight="1">
      <c r="K803" s="134"/>
    </row>
    <row r="804" ht="15.75" customHeight="1">
      <c r="K804" s="134"/>
    </row>
    <row r="805" ht="15.75" customHeight="1">
      <c r="K805" s="134"/>
    </row>
    <row r="806" ht="15.75" customHeight="1">
      <c r="K806" s="134"/>
    </row>
    <row r="807" ht="15.75" customHeight="1">
      <c r="K807" s="134"/>
    </row>
    <row r="808" ht="15.75" customHeight="1">
      <c r="K808" s="134"/>
    </row>
    <row r="809" ht="15.75" customHeight="1">
      <c r="K809" s="134"/>
    </row>
    <row r="810" ht="15.75" customHeight="1">
      <c r="K810" s="134"/>
    </row>
    <row r="811" ht="15.75" customHeight="1">
      <c r="K811" s="134"/>
    </row>
    <row r="812" ht="15.75" customHeight="1">
      <c r="K812" s="134"/>
    </row>
    <row r="813" ht="15.75" customHeight="1">
      <c r="K813" s="134"/>
    </row>
    <row r="814" ht="15.75" customHeight="1">
      <c r="K814" s="134"/>
    </row>
    <row r="815" ht="15.75" customHeight="1">
      <c r="K815" s="134"/>
    </row>
    <row r="816" ht="15.75" customHeight="1">
      <c r="K816" s="134"/>
    </row>
    <row r="817" ht="15.75" customHeight="1">
      <c r="K817" s="134"/>
    </row>
    <row r="818" ht="15.75" customHeight="1">
      <c r="K818" s="134"/>
    </row>
    <row r="819" ht="15.75" customHeight="1">
      <c r="K819" s="134"/>
    </row>
    <row r="820" ht="15.75" customHeight="1">
      <c r="K820" s="134"/>
    </row>
    <row r="821" ht="15.75" customHeight="1">
      <c r="K821" s="134"/>
    </row>
    <row r="822" ht="15.75" customHeight="1">
      <c r="K822" s="134"/>
    </row>
    <row r="823" ht="15.75" customHeight="1">
      <c r="K823" s="134"/>
    </row>
    <row r="824" ht="15.75" customHeight="1">
      <c r="K824" s="134"/>
    </row>
    <row r="825" ht="15.75" customHeight="1">
      <c r="K825" s="134"/>
    </row>
    <row r="826" ht="15.75" customHeight="1">
      <c r="K826" s="134"/>
    </row>
    <row r="827" ht="15.75" customHeight="1">
      <c r="K827" s="134"/>
    </row>
    <row r="828" ht="15.75" customHeight="1">
      <c r="K828" s="134"/>
    </row>
    <row r="829" ht="15.75" customHeight="1">
      <c r="K829" s="134"/>
    </row>
    <row r="830" ht="15.75" customHeight="1">
      <c r="K830" s="134"/>
    </row>
    <row r="831" ht="15.75" customHeight="1">
      <c r="K831" s="134"/>
    </row>
    <row r="832" ht="15.75" customHeight="1">
      <c r="K832" s="134"/>
    </row>
    <row r="833" ht="15.75" customHeight="1">
      <c r="K833" s="134"/>
    </row>
    <row r="834" ht="15.75" customHeight="1">
      <c r="K834" s="134"/>
    </row>
    <row r="835" ht="15.75" customHeight="1">
      <c r="K835" s="134"/>
    </row>
    <row r="836" ht="15.75" customHeight="1">
      <c r="K836" s="134"/>
    </row>
    <row r="837" ht="15.75" customHeight="1">
      <c r="K837" s="134"/>
    </row>
    <row r="838" ht="15.75" customHeight="1">
      <c r="K838" s="134"/>
    </row>
    <row r="839" ht="15.75" customHeight="1">
      <c r="K839" s="134"/>
    </row>
    <row r="840" ht="15.75" customHeight="1">
      <c r="K840" s="134"/>
    </row>
    <row r="841" ht="15.75" customHeight="1">
      <c r="K841" s="134"/>
    </row>
    <row r="842" ht="15.75" customHeight="1">
      <c r="K842" s="134"/>
    </row>
    <row r="843" ht="15.75" customHeight="1">
      <c r="K843" s="134"/>
    </row>
    <row r="844" ht="15.75" customHeight="1">
      <c r="K844" s="134"/>
    </row>
    <row r="845" ht="15.75" customHeight="1">
      <c r="K845" s="134"/>
    </row>
    <row r="846" ht="15.75" customHeight="1">
      <c r="K846" s="134"/>
    </row>
    <row r="847" ht="15.75" customHeight="1">
      <c r="K847" s="134"/>
    </row>
    <row r="848" ht="15.75" customHeight="1">
      <c r="K848" s="134"/>
    </row>
    <row r="849" ht="15.75" customHeight="1">
      <c r="K849" s="134"/>
    </row>
    <row r="850" ht="15.75" customHeight="1">
      <c r="K850" s="134"/>
    </row>
    <row r="851" ht="15.75" customHeight="1">
      <c r="K851" s="134"/>
    </row>
    <row r="852" ht="15.75" customHeight="1">
      <c r="K852" s="134"/>
    </row>
    <row r="853" ht="15.75" customHeight="1">
      <c r="K853" s="134"/>
    </row>
    <row r="854" ht="15.75" customHeight="1">
      <c r="K854" s="134"/>
    </row>
    <row r="855" ht="15.75" customHeight="1">
      <c r="K855" s="134"/>
    </row>
    <row r="856" ht="15.75" customHeight="1">
      <c r="K856" s="134"/>
    </row>
    <row r="857" ht="15.75" customHeight="1">
      <c r="K857" s="134"/>
    </row>
    <row r="858" ht="15.75" customHeight="1">
      <c r="K858" s="134"/>
    </row>
    <row r="859" ht="15.75" customHeight="1">
      <c r="K859" s="134"/>
    </row>
    <row r="860" ht="15.75" customHeight="1">
      <c r="K860" s="134"/>
    </row>
    <row r="861" ht="15.75" customHeight="1">
      <c r="K861" s="134"/>
    </row>
    <row r="862" ht="15.75" customHeight="1">
      <c r="K862" s="134"/>
    </row>
    <row r="863" ht="15.75" customHeight="1">
      <c r="K863" s="134"/>
    </row>
    <row r="864" ht="15.75" customHeight="1">
      <c r="K864" s="134"/>
    </row>
    <row r="865" ht="15.75" customHeight="1">
      <c r="K865" s="134"/>
    </row>
    <row r="866" ht="15.75" customHeight="1">
      <c r="K866" s="134"/>
    </row>
    <row r="867" ht="15.75" customHeight="1">
      <c r="K867" s="134"/>
    </row>
    <row r="868" ht="15.75" customHeight="1">
      <c r="K868" s="134"/>
    </row>
    <row r="869" ht="15.75" customHeight="1">
      <c r="K869" s="134"/>
    </row>
    <row r="870" ht="15.75" customHeight="1">
      <c r="K870" s="134"/>
    </row>
    <row r="871" ht="15.75" customHeight="1">
      <c r="K871" s="134"/>
    </row>
    <row r="872" ht="15.75" customHeight="1">
      <c r="K872" s="134"/>
    </row>
    <row r="873" ht="15.75" customHeight="1">
      <c r="K873" s="134"/>
    </row>
    <row r="874" ht="15.75" customHeight="1">
      <c r="K874" s="134"/>
    </row>
    <row r="875" ht="15.75" customHeight="1">
      <c r="K875" s="134"/>
    </row>
    <row r="876" ht="15.75" customHeight="1">
      <c r="K876" s="134"/>
    </row>
    <row r="877" ht="15.75" customHeight="1">
      <c r="K877" s="134"/>
    </row>
    <row r="878" ht="15.75" customHeight="1">
      <c r="K878" s="134"/>
    </row>
    <row r="879" ht="15.75" customHeight="1">
      <c r="K879" s="134"/>
    </row>
    <row r="880" ht="15.75" customHeight="1">
      <c r="K880" s="134"/>
    </row>
    <row r="881" ht="15.75" customHeight="1">
      <c r="K881" s="134"/>
    </row>
    <row r="882" ht="15.75" customHeight="1">
      <c r="K882" s="134"/>
    </row>
    <row r="883" ht="15.75" customHeight="1">
      <c r="K883" s="134"/>
    </row>
    <row r="884" ht="15.75" customHeight="1">
      <c r="K884" s="134"/>
    </row>
    <row r="885" ht="15.75" customHeight="1">
      <c r="K885" s="134"/>
    </row>
    <row r="886" ht="15.75" customHeight="1">
      <c r="K886" s="134"/>
    </row>
    <row r="887" ht="15.75" customHeight="1">
      <c r="K887" s="134"/>
    </row>
    <row r="888" ht="15.75" customHeight="1">
      <c r="K888" s="134"/>
    </row>
    <row r="889" ht="15.75" customHeight="1">
      <c r="K889" s="134"/>
    </row>
    <row r="890" ht="15.75" customHeight="1">
      <c r="K890" s="134"/>
    </row>
    <row r="891" ht="15.75" customHeight="1">
      <c r="K891" s="134"/>
    </row>
    <row r="892" ht="15.75" customHeight="1">
      <c r="K892" s="134"/>
    </row>
    <row r="893" ht="15.75" customHeight="1">
      <c r="K893" s="134"/>
    </row>
    <row r="894" ht="15.75" customHeight="1">
      <c r="K894" s="134"/>
    </row>
    <row r="895" ht="15.75" customHeight="1">
      <c r="K895" s="134"/>
    </row>
    <row r="896" ht="15.75" customHeight="1">
      <c r="K896" s="134"/>
    </row>
    <row r="897" ht="15.75" customHeight="1">
      <c r="K897" s="134"/>
    </row>
    <row r="898" ht="15.75" customHeight="1">
      <c r="K898" s="134"/>
    </row>
    <row r="899" ht="15.75" customHeight="1">
      <c r="K899" s="134"/>
    </row>
    <row r="900" ht="15.75" customHeight="1">
      <c r="K900" s="134"/>
    </row>
    <row r="901" ht="15.75" customHeight="1">
      <c r="K901" s="134"/>
    </row>
    <row r="902" ht="15.75" customHeight="1">
      <c r="K902" s="134"/>
    </row>
    <row r="903" ht="15.75" customHeight="1">
      <c r="K903" s="134"/>
    </row>
    <row r="904" ht="15.75" customHeight="1">
      <c r="K904" s="134"/>
    </row>
    <row r="905" ht="15.75" customHeight="1">
      <c r="K905" s="134"/>
    </row>
    <row r="906" ht="15.75" customHeight="1">
      <c r="K906" s="134"/>
    </row>
    <row r="907" ht="15.75" customHeight="1">
      <c r="K907" s="134"/>
    </row>
    <row r="908" ht="15.75" customHeight="1">
      <c r="K908" s="134"/>
    </row>
    <row r="909" ht="15.75" customHeight="1">
      <c r="K909" s="134"/>
    </row>
    <row r="910" ht="15.75" customHeight="1">
      <c r="K910" s="134"/>
    </row>
    <row r="911" ht="15.75" customHeight="1">
      <c r="K911" s="134"/>
    </row>
    <row r="912" ht="15.75" customHeight="1">
      <c r="K912" s="134"/>
    </row>
    <row r="913" ht="15.75" customHeight="1">
      <c r="K913" s="134"/>
    </row>
    <row r="914" ht="15.75" customHeight="1">
      <c r="K914" s="134"/>
    </row>
    <row r="915" ht="15.75" customHeight="1">
      <c r="K915" s="134"/>
    </row>
    <row r="916" ht="15.75" customHeight="1">
      <c r="K916" s="134"/>
    </row>
    <row r="917" ht="15.75" customHeight="1">
      <c r="K917" s="134"/>
    </row>
    <row r="918" ht="15.75" customHeight="1">
      <c r="K918" s="134"/>
    </row>
    <row r="919" ht="15.75" customHeight="1">
      <c r="K919" s="134"/>
    </row>
    <row r="920" ht="15.75" customHeight="1">
      <c r="K920" s="134"/>
    </row>
    <row r="921" ht="15.75" customHeight="1">
      <c r="K921" s="134"/>
    </row>
    <row r="922" ht="15.75" customHeight="1">
      <c r="K922" s="134"/>
    </row>
    <row r="923" ht="15.75" customHeight="1">
      <c r="K923" s="134"/>
    </row>
    <row r="924" ht="15.75" customHeight="1">
      <c r="K924" s="134"/>
    </row>
    <row r="925" ht="15.75" customHeight="1">
      <c r="K925" s="134"/>
    </row>
    <row r="926" ht="15.75" customHeight="1">
      <c r="K926" s="134"/>
    </row>
    <row r="927" ht="15.75" customHeight="1">
      <c r="K927" s="134"/>
    </row>
    <row r="928" ht="15.75" customHeight="1">
      <c r="K928" s="134"/>
    </row>
    <row r="929" ht="15.75" customHeight="1">
      <c r="K929" s="134"/>
    </row>
    <row r="930" ht="15.75" customHeight="1">
      <c r="K930" s="134"/>
    </row>
    <row r="931" ht="15.75" customHeight="1">
      <c r="K931" s="134"/>
    </row>
    <row r="932" ht="15.75" customHeight="1">
      <c r="K932" s="134"/>
    </row>
    <row r="933" ht="15.75" customHeight="1">
      <c r="K933" s="134"/>
    </row>
    <row r="934" ht="15.75" customHeight="1">
      <c r="K934" s="134"/>
    </row>
    <row r="935" ht="15.75" customHeight="1">
      <c r="K935" s="134"/>
    </row>
    <row r="936" ht="15.75" customHeight="1">
      <c r="K936" s="134"/>
    </row>
    <row r="937" ht="15.75" customHeight="1">
      <c r="K937" s="134"/>
    </row>
    <row r="938" ht="15.75" customHeight="1">
      <c r="K938" s="134"/>
    </row>
    <row r="939" ht="15.75" customHeight="1">
      <c r="K939" s="134"/>
    </row>
    <row r="940" ht="15.75" customHeight="1">
      <c r="K940" s="134"/>
    </row>
    <row r="941" ht="15.75" customHeight="1">
      <c r="K941" s="134"/>
    </row>
    <row r="942" ht="15.75" customHeight="1">
      <c r="K942" s="134"/>
    </row>
    <row r="943" ht="15.75" customHeight="1">
      <c r="K943" s="134"/>
    </row>
    <row r="944" ht="15.75" customHeight="1">
      <c r="K944" s="134"/>
    </row>
    <row r="945" ht="15.75" customHeight="1">
      <c r="K945" s="134"/>
    </row>
    <row r="946" ht="15.75" customHeight="1">
      <c r="K946" s="134"/>
    </row>
    <row r="947" ht="15.75" customHeight="1">
      <c r="K947" s="134"/>
    </row>
    <row r="948" ht="15.75" customHeight="1">
      <c r="K948" s="134"/>
    </row>
    <row r="949" ht="15.75" customHeight="1">
      <c r="K949" s="134"/>
    </row>
    <row r="950" ht="15.75" customHeight="1">
      <c r="K950" s="134"/>
    </row>
    <row r="951" ht="15.75" customHeight="1">
      <c r="K951" s="134"/>
    </row>
    <row r="952" ht="15.75" customHeight="1">
      <c r="K952" s="134"/>
    </row>
    <row r="953" ht="15.75" customHeight="1">
      <c r="K953" s="134"/>
    </row>
    <row r="954" ht="15.75" customHeight="1">
      <c r="K954" s="134"/>
    </row>
    <row r="955" ht="15.75" customHeight="1">
      <c r="K955" s="134"/>
    </row>
    <row r="956" ht="15.75" customHeight="1">
      <c r="K956" s="134"/>
    </row>
    <row r="957" ht="15.75" customHeight="1">
      <c r="K957" s="134"/>
    </row>
    <row r="958" ht="15.75" customHeight="1">
      <c r="K958" s="134"/>
    </row>
    <row r="959" ht="15.75" customHeight="1">
      <c r="K959" s="134"/>
    </row>
    <row r="960" ht="15.75" customHeight="1">
      <c r="K960" s="134"/>
    </row>
    <row r="961" ht="15.75" customHeight="1">
      <c r="K961" s="134"/>
    </row>
    <row r="962" ht="15.75" customHeight="1">
      <c r="K962" s="134"/>
    </row>
    <row r="963" ht="15.75" customHeight="1">
      <c r="K963" s="134"/>
    </row>
    <row r="964" ht="15.75" customHeight="1">
      <c r="K964" s="134"/>
    </row>
    <row r="965" ht="15.75" customHeight="1">
      <c r="K965" s="134"/>
    </row>
    <row r="966" ht="15.75" customHeight="1">
      <c r="K966" s="134"/>
    </row>
    <row r="967" ht="15.75" customHeight="1">
      <c r="K967" s="134"/>
    </row>
    <row r="968" ht="15.75" customHeight="1">
      <c r="K968" s="134"/>
    </row>
    <row r="969" ht="15.75" customHeight="1">
      <c r="K969" s="134"/>
    </row>
    <row r="970" ht="15.75" customHeight="1">
      <c r="K970" s="134"/>
    </row>
    <row r="971" ht="15.75" customHeight="1">
      <c r="K971" s="134"/>
    </row>
    <row r="972" ht="15.75" customHeight="1">
      <c r="K972" s="134"/>
    </row>
    <row r="973" ht="15.75" customHeight="1">
      <c r="K973" s="134"/>
    </row>
    <row r="974" ht="15.75" customHeight="1">
      <c r="K974" s="134"/>
    </row>
    <row r="975" ht="15.75" customHeight="1">
      <c r="K975" s="134"/>
    </row>
    <row r="976" ht="15.75" customHeight="1">
      <c r="K976" s="134"/>
    </row>
    <row r="977" ht="15.75" customHeight="1">
      <c r="K977" s="134"/>
    </row>
    <row r="978" ht="15.75" customHeight="1">
      <c r="K978" s="134"/>
    </row>
    <row r="979" ht="15.75" customHeight="1">
      <c r="K979" s="134"/>
    </row>
    <row r="980" ht="15.75" customHeight="1">
      <c r="K980" s="134"/>
    </row>
    <row r="981" ht="15.75" customHeight="1">
      <c r="K981" s="134"/>
    </row>
    <row r="982" ht="15.75" customHeight="1">
      <c r="K982" s="134"/>
    </row>
  </sheetData>
  <mergeCells count="8">
    <mergeCell ref="A1:F1"/>
    <mergeCell ref="K1:O1"/>
    <mergeCell ref="Q1:Y1"/>
    <mergeCell ref="A8:D8"/>
    <mergeCell ref="E8:F8"/>
    <mergeCell ref="A15:D15"/>
    <mergeCell ref="E15:F15"/>
    <mergeCell ref="A23:F23"/>
  </mergeCells>
  <printOptions/>
  <pageMargins bottom="0.75" footer="0.0" header="0.0" left="0.7" right="0.7" top="0.75"/>
  <pageSetup fitToWidth="0"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</cols>
  <sheetData>
    <row r="1">
      <c r="A1" s="1" t="s">
        <v>0</v>
      </c>
      <c r="B1" s="2">
        <v>2.0</v>
      </c>
      <c r="C1" s="2">
        <v>3.0</v>
      </c>
      <c r="D1" s="2">
        <v>4.0</v>
      </c>
      <c r="E1" s="2">
        <v>5.0</v>
      </c>
      <c r="F1" s="2">
        <v>6.0</v>
      </c>
      <c r="G1" s="2">
        <v>7.0</v>
      </c>
    </row>
    <row r="2">
      <c r="A2" s="4" t="s">
        <v>2</v>
      </c>
      <c r="B2" s="5" t="s">
        <v>3</v>
      </c>
      <c r="C2" s="7" t="s">
        <v>3</v>
      </c>
      <c r="D2" s="7" t="s">
        <v>3</v>
      </c>
      <c r="E2" s="7" t="s">
        <v>3</v>
      </c>
      <c r="F2" s="7" t="s">
        <v>3</v>
      </c>
      <c r="G2" s="7" t="s">
        <v>3</v>
      </c>
      <c r="H2" s="9"/>
    </row>
    <row r="3">
      <c r="A3" s="4" t="s">
        <v>4</v>
      </c>
      <c r="B3" s="5" t="s">
        <v>3</v>
      </c>
      <c r="C3" s="11" t="s">
        <v>3</v>
      </c>
      <c r="D3" s="7" t="s">
        <v>3</v>
      </c>
      <c r="E3" s="7" t="s">
        <v>3</v>
      </c>
      <c r="F3" s="7" t="s">
        <v>3</v>
      </c>
      <c r="G3" s="7" t="s">
        <v>3</v>
      </c>
      <c r="H3" s="13"/>
    </row>
    <row r="4">
      <c r="A4" s="4" t="s">
        <v>10</v>
      </c>
      <c r="B4" s="5" t="s">
        <v>3</v>
      </c>
      <c r="C4" s="11" t="s">
        <v>3</v>
      </c>
      <c r="D4" s="7"/>
      <c r="E4" s="7"/>
      <c r="F4" s="7"/>
      <c r="G4" s="7"/>
      <c r="H4" s="13"/>
    </row>
    <row r="5">
      <c r="A5" s="4" t="s">
        <v>11</v>
      </c>
      <c r="B5" s="16" t="s">
        <v>12</v>
      </c>
      <c r="C5" s="16" t="s">
        <v>12</v>
      </c>
      <c r="D5" s="16" t="s">
        <v>12</v>
      </c>
      <c r="E5" s="16" t="s">
        <v>12</v>
      </c>
      <c r="F5" s="16" t="s">
        <v>12</v>
      </c>
      <c r="G5" s="16" t="s">
        <v>12</v>
      </c>
    </row>
    <row r="6">
      <c r="A6" s="4" t="s">
        <v>13</v>
      </c>
      <c r="B6" s="16" t="s">
        <v>12</v>
      </c>
      <c r="C6" s="16" t="s">
        <v>12</v>
      </c>
      <c r="D6" s="16" t="s">
        <v>12</v>
      </c>
      <c r="E6" s="16" t="s">
        <v>12</v>
      </c>
      <c r="F6" s="16" t="s">
        <v>12</v>
      </c>
      <c r="G6" s="16" t="s">
        <v>12</v>
      </c>
    </row>
    <row r="7">
      <c r="B7" s="20"/>
      <c r="C7" s="20"/>
      <c r="D7" s="20"/>
      <c r="E7" s="20"/>
      <c r="F7" s="20"/>
      <c r="G7" s="20"/>
    </row>
    <row r="8">
      <c r="A8" s="22" t="s">
        <v>14</v>
      </c>
      <c r="B8" s="2">
        <v>2.0</v>
      </c>
      <c r="C8" s="2">
        <v>3.0</v>
      </c>
      <c r="D8" s="2">
        <v>4.0</v>
      </c>
      <c r="E8" s="2">
        <v>5.0</v>
      </c>
      <c r="F8" s="2">
        <v>6.0</v>
      </c>
      <c r="G8" s="2">
        <v>7.0</v>
      </c>
    </row>
    <row r="9">
      <c r="A9" s="4" t="s">
        <v>2</v>
      </c>
      <c r="B9" s="16">
        <v>0.5</v>
      </c>
      <c r="C9" s="16">
        <v>0.5</v>
      </c>
      <c r="D9" s="16">
        <v>0.5</v>
      </c>
      <c r="E9" s="16">
        <v>0.5</v>
      </c>
      <c r="F9" s="16">
        <v>0.5</v>
      </c>
      <c r="G9" s="16">
        <v>0.5</v>
      </c>
    </row>
    <row r="10">
      <c r="A10" s="4" t="s">
        <v>4</v>
      </c>
      <c r="B10" s="16">
        <v>0.5</v>
      </c>
      <c r="C10" s="16">
        <v>0.5</v>
      </c>
      <c r="D10" s="16">
        <v>0.5</v>
      </c>
      <c r="E10" s="16">
        <v>0.5</v>
      </c>
      <c r="F10" s="16">
        <v>0.5</v>
      </c>
      <c r="G10" s="16">
        <v>0.5</v>
      </c>
    </row>
    <row r="11">
      <c r="A11" s="4" t="s">
        <v>10</v>
      </c>
      <c r="B11" s="16">
        <v>0.5</v>
      </c>
      <c r="C11" s="28">
        <v>0.0</v>
      </c>
      <c r="D11" s="7"/>
      <c r="E11" s="7"/>
      <c r="F11" s="7"/>
      <c r="G11" s="7"/>
    </row>
    <row r="12">
      <c r="A12" s="4" t="s">
        <v>11</v>
      </c>
      <c r="B12" s="16">
        <v>0.0</v>
      </c>
      <c r="C12" s="16">
        <v>0.0</v>
      </c>
      <c r="D12" s="16">
        <v>0.0</v>
      </c>
      <c r="E12" s="16">
        <v>0.0</v>
      </c>
      <c r="F12" s="16">
        <v>0.0</v>
      </c>
      <c r="G12" s="16">
        <v>0.0</v>
      </c>
    </row>
    <row r="13">
      <c r="A13" s="4" t="s">
        <v>13</v>
      </c>
      <c r="B13" s="16">
        <v>0.0</v>
      </c>
      <c r="C13" s="16">
        <v>0.0</v>
      </c>
      <c r="D13" s="16">
        <v>0.0</v>
      </c>
      <c r="E13" s="16">
        <v>0.0</v>
      </c>
      <c r="F13" s="16">
        <v>0.0</v>
      </c>
      <c r="G13" s="16">
        <v>0.0</v>
      </c>
    </row>
    <row r="14">
      <c r="B14" s="20"/>
      <c r="C14" s="20"/>
      <c r="D14" s="20"/>
      <c r="E14" s="20"/>
      <c r="F14" s="20"/>
      <c r="G14" s="20"/>
    </row>
    <row r="15">
      <c r="A15" s="1" t="s">
        <v>16</v>
      </c>
      <c r="B15" s="2">
        <v>2.0</v>
      </c>
      <c r="C15" s="2">
        <v>3.0</v>
      </c>
      <c r="D15" s="2">
        <v>4.0</v>
      </c>
      <c r="E15" s="2">
        <v>5.0</v>
      </c>
      <c r="F15" s="2">
        <v>6.0</v>
      </c>
      <c r="G15" s="2">
        <v>7.0</v>
      </c>
    </row>
    <row r="16">
      <c r="A16" s="4" t="s">
        <v>2</v>
      </c>
      <c r="B16" s="34">
        <v>0.625</v>
      </c>
      <c r="C16" s="34">
        <f t="shared" ref="C16:F16" si="1">B16/2</f>
        <v>0.3125</v>
      </c>
      <c r="D16" s="34">
        <f t="shared" si="1"/>
        <v>0.15625</v>
      </c>
      <c r="E16" s="34">
        <f t="shared" si="1"/>
        <v>0.078125</v>
      </c>
      <c r="F16" s="34">
        <f t="shared" si="1"/>
        <v>0.0390625</v>
      </c>
      <c r="G16" s="34">
        <v>0.0</v>
      </c>
    </row>
    <row r="17">
      <c r="A17" s="4" t="s">
        <v>4</v>
      </c>
      <c r="B17" s="34">
        <v>0.469</v>
      </c>
      <c r="C17" s="34">
        <f t="shared" ref="C17:F17" si="2">B17/2</f>
        <v>0.2345</v>
      </c>
      <c r="D17" s="34">
        <f t="shared" si="2"/>
        <v>0.11725</v>
      </c>
      <c r="E17" s="34">
        <f t="shared" si="2"/>
        <v>0.058625</v>
      </c>
      <c r="F17" s="34">
        <f t="shared" si="2"/>
        <v>0.0293125</v>
      </c>
      <c r="G17" s="34">
        <v>0.0</v>
      </c>
    </row>
    <row r="18">
      <c r="A18" s="4" t="s">
        <v>10</v>
      </c>
      <c r="B18" s="38">
        <v>0.313</v>
      </c>
      <c r="C18" s="28">
        <v>0.0</v>
      </c>
      <c r="D18" s="7"/>
      <c r="E18" s="7"/>
      <c r="F18" s="7"/>
      <c r="G18" s="7"/>
    </row>
    <row r="19">
      <c r="A19" s="4" t="s">
        <v>11</v>
      </c>
      <c r="B19" s="34">
        <v>0.625</v>
      </c>
      <c r="C19" s="34">
        <f t="shared" ref="C19:F19" si="3">B19/2</f>
        <v>0.3125</v>
      </c>
      <c r="D19" s="34">
        <f t="shared" si="3"/>
        <v>0.15625</v>
      </c>
      <c r="E19" s="34">
        <f t="shared" si="3"/>
        <v>0.078125</v>
      </c>
      <c r="F19" s="34">
        <f t="shared" si="3"/>
        <v>0.0390625</v>
      </c>
      <c r="G19" s="34">
        <v>0.0</v>
      </c>
    </row>
    <row r="20">
      <c r="A20" s="4" t="s">
        <v>13</v>
      </c>
      <c r="B20" s="34">
        <v>0.469</v>
      </c>
      <c r="C20" s="34">
        <f t="shared" ref="C20:F20" si="4">B20/2</f>
        <v>0.2345</v>
      </c>
      <c r="D20" s="34">
        <f t="shared" si="4"/>
        <v>0.11725</v>
      </c>
      <c r="E20" s="34">
        <f t="shared" si="4"/>
        <v>0.058625</v>
      </c>
      <c r="F20" s="34">
        <f t="shared" si="4"/>
        <v>0.0293125</v>
      </c>
      <c r="G20" s="34">
        <v>0.0</v>
      </c>
    </row>
    <row r="21">
      <c r="B21" s="20"/>
      <c r="C21" s="20"/>
      <c r="D21" s="20"/>
      <c r="E21" s="20"/>
      <c r="F21" s="20"/>
      <c r="G21" s="20"/>
    </row>
    <row r="22">
      <c r="A22" s="1" t="s">
        <v>18</v>
      </c>
      <c r="B22" s="2">
        <v>2.0</v>
      </c>
      <c r="C22" s="2">
        <v>3.0</v>
      </c>
      <c r="D22" s="2">
        <v>4.0</v>
      </c>
      <c r="E22" s="2">
        <v>5.0</v>
      </c>
      <c r="F22" s="2">
        <v>6.0</v>
      </c>
      <c r="G22" s="2">
        <v>7.0</v>
      </c>
    </row>
    <row r="23">
      <c r="A23" s="4" t="s">
        <v>2</v>
      </c>
      <c r="B23" s="16" t="s">
        <v>19</v>
      </c>
      <c r="C23" s="16" t="s">
        <v>19</v>
      </c>
      <c r="D23" s="16" t="s">
        <v>19</v>
      </c>
      <c r="E23" s="16" t="s">
        <v>19</v>
      </c>
      <c r="F23" s="16" t="s">
        <v>19</v>
      </c>
      <c r="G23" s="16" t="s">
        <v>19</v>
      </c>
    </row>
    <row r="24">
      <c r="A24" s="4" t="s">
        <v>4</v>
      </c>
      <c r="B24" s="16" t="s">
        <v>19</v>
      </c>
      <c r="C24" s="16" t="s">
        <v>19</v>
      </c>
      <c r="D24" s="16" t="s">
        <v>19</v>
      </c>
      <c r="E24" s="16" t="s">
        <v>19</v>
      </c>
      <c r="F24" s="16" t="s">
        <v>19</v>
      </c>
      <c r="G24" s="16" t="s">
        <v>19</v>
      </c>
    </row>
    <row r="25">
      <c r="A25" s="4" t="s">
        <v>10</v>
      </c>
      <c r="B25" s="16" t="s">
        <v>20</v>
      </c>
      <c r="C25" s="28" t="s">
        <v>21</v>
      </c>
      <c r="D25" s="7"/>
      <c r="E25" s="7"/>
      <c r="F25" s="7"/>
      <c r="G25" s="7"/>
    </row>
    <row r="26">
      <c r="A26" s="4" t="s">
        <v>11</v>
      </c>
      <c r="B26" s="16" t="s">
        <v>19</v>
      </c>
      <c r="C26" s="16" t="s">
        <v>19</v>
      </c>
      <c r="D26" s="16" t="s">
        <v>19</v>
      </c>
      <c r="E26" s="16" t="s">
        <v>19</v>
      </c>
      <c r="F26" s="16" t="s">
        <v>19</v>
      </c>
      <c r="G26" s="16" t="s">
        <v>19</v>
      </c>
    </row>
    <row r="27">
      <c r="A27" s="4" t="s">
        <v>13</v>
      </c>
      <c r="B27" s="16" t="s">
        <v>19</v>
      </c>
      <c r="C27" s="16" t="s">
        <v>19</v>
      </c>
      <c r="D27" s="16" t="s">
        <v>19</v>
      </c>
      <c r="E27" s="16" t="s">
        <v>19</v>
      </c>
      <c r="F27" s="16" t="s">
        <v>19</v>
      </c>
      <c r="G27" s="16" t="s">
        <v>19</v>
      </c>
    </row>
    <row r="29">
      <c r="A29" s="4" t="s">
        <v>22</v>
      </c>
      <c r="B29" s="2">
        <v>2.0</v>
      </c>
      <c r="C29" s="2">
        <v>3.0</v>
      </c>
      <c r="D29" s="2">
        <v>4.0</v>
      </c>
      <c r="E29" s="2">
        <v>5.0</v>
      </c>
      <c r="F29" s="2">
        <v>6.0</v>
      </c>
      <c r="G29" s="2">
        <v>7.0</v>
      </c>
    </row>
    <row r="30">
      <c r="A30" s="4" t="s">
        <v>2</v>
      </c>
      <c r="B30" s="16" t="s">
        <v>24</v>
      </c>
      <c r="C30" s="16" t="s">
        <v>24</v>
      </c>
      <c r="D30" s="16" t="s">
        <v>24</v>
      </c>
      <c r="E30" s="16" t="s">
        <v>24</v>
      </c>
      <c r="F30" s="16" t="s">
        <v>24</v>
      </c>
      <c r="G30" s="16" t="s">
        <v>24</v>
      </c>
    </row>
    <row r="31">
      <c r="A31" s="4" t="s">
        <v>4</v>
      </c>
      <c r="B31" s="16" t="s">
        <v>24</v>
      </c>
      <c r="C31" s="16" t="s">
        <v>24</v>
      </c>
      <c r="D31" s="16" t="s">
        <v>24</v>
      </c>
      <c r="E31" s="16" t="s">
        <v>24</v>
      </c>
      <c r="F31" s="16" t="s">
        <v>24</v>
      </c>
      <c r="G31" s="16" t="s">
        <v>24</v>
      </c>
    </row>
    <row r="32">
      <c r="A32" s="4" t="s">
        <v>10</v>
      </c>
      <c r="B32" s="16" t="s">
        <v>24</v>
      </c>
      <c r="C32" s="16" t="s">
        <v>24</v>
      </c>
      <c r="D32" s="7"/>
      <c r="E32" s="7"/>
      <c r="F32" s="7"/>
      <c r="G32" s="7"/>
    </row>
    <row r="33">
      <c r="A33" s="4" t="s">
        <v>11</v>
      </c>
      <c r="B33" s="16" t="s">
        <v>21</v>
      </c>
      <c r="C33" s="16" t="s">
        <v>21</v>
      </c>
      <c r="D33" s="16" t="s">
        <v>21</v>
      </c>
      <c r="E33" s="16" t="s">
        <v>21</v>
      </c>
      <c r="F33" s="16" t="s">
        <v>21</v>
      </c>
      <c r="G33" s="16" t="s">
        <v>21</v>
      </c>
    </row>
    <row r="34">
      <c r="A34" s="4" t="s">
        <v>13</v>
      </c>
      <c r="B34" s="16" t="s">
        <v>21</v>
      </c>
      <c r="C34" s="16" t="s">
        <v>21</v>
      </c>
      <c r="D34" s="16" t="s">
        <v>21</v>
      </c>
      <c r="E34" s="16" t="s">
        <v>21</v>
      </c>
      <c r="F34" s="16" t="s">
        <v>21</v>
      </c>
      <c r="G34" s="16" t="s">
        <v>21</v>
      </c>
    </row>
    <row r="36">
      <c r="A36" s="4" t="s">
        <v>26</v>
      </c>
      <c r="B36" s="2">
        <v>2.0</v>
      </c>
      <c r="C36" s="2">
        <v>3.0</v>
      </c>
      <c r="D36" s="2">
        <v>4.0</v>
      </c>
      <c r="E36" s="2">
        <v>5.0</v>
      </c>
      <c r="F36" s="2">
        <v>6.0</v>
      </c>
      <c r="G36" s="2">
        <v>7.0</v>
      </c>
    </row>
    <row r="37">
      <c r="A37" s="4" t="s">
        <v>2</v>
      </c>
      <c r="B37" s="16">
        <v>800.0</v>
      </c>
      <c r="C37" s="16">
        <v>800.0</v>
      </c>
      <c r="D37" s="16">
        <v>800.0</v>
      </c>
      <c r="E37" s="16">
        <v>800.0</v>
      </c>
      <c r="F37" s="16">
        <v>800.0</v>
      </c>
      <c r="G37" s="16">
        <v>800.0</v>
      </c>
    </row>
    <row r="38">
      <c r="A38" s="4" t="s">
        <v>4</v>
      </c>
      <c r="B38" s="16">
        <v>800.0</v>
      </c>
      <c r="C38" s="16">
        <v>800.0</v>
      </c>
      <c r="D38" s="16">
        <v>800.0</v>
      </c>
      <c r="E38" s="16">
        <v>800.0</v>
      </c>
      <c r="F38" s="16">
        <v>800.0</v>
      </c>
      <c r="G38" s="16">
        <v>800.0</v>
      </c>
    </row>
    <row r="39">
      <c r="A39" s="4" t="s">
        <v>10</v>
      </c>
      <c r="B39" s="16">
        <v>800.0</v>
      </c>
      <c r="C39" s="16">
        <v>800.0</v>
      </c>
      <c r="D39" s="7"/>
      <c r="E39" s="7"/>
      <c r="F39" s="7"/>
      <c r="G39" s="7"/>
    </row>
    <row r="40">
      <c r="A40" s="4" t="s">
        <v>11</v>
      </c>
      <c r="B40" s="16">
        <v>800.0</v>
      </c>
      <c r="C40" s="16">
        <v>800.0</v>
      </c>
      <c r="D40" s="16">
        <v>800.0</v>
      </c>
      <c r="E40" s="16">
        <v>800.0</v>
      </c>
      <c r="F40" s="16">
        <v>800.0</v>
      </c>
      <c r="G40" s="16">
        <v>800.0</v>
      </c>
    </row>
    <row r="41">
      <c r="A41" s="4" t="s">
        <v>13</v>
      </c>
      <c r="B41" s="16">
        <v>800.0</v>
      </c>
      <c r="C41" s="16">
        <v>800.0</v>
      </c>
      <c r="D41" s="16">
        <v>800.0</v>
      </c>
      <c r="E41" s="16">
        <v>800.0</v>
      </c>
      <c r="F41" s="16">
        <v>800.0</v>
      </c>
      <c r="G41" s="16">
        <v>800.0</v>
      </c>
    </row>
    <row r="43">
      <c r="A43" s="4" t="s">
        <v>29</v>
      </c>
      <c r="B43" s="2">
        <v>2.0</v>
      </c>
      <c r="C43" s="2">
        <v>3.0</v>
      </c>
      <c r="D43" s="2">
        <v>4.0</v>
      </c>
      <c r="E43" s="2">
        <v>5.0</v>
      </c>
      <c r="F43" s="2">
        <v>6.0</v>
      </c>
      <c r="G43" s="2">
        <v>7.0</v>
      </c>
    </row>
    <row r="44">
      <c r="A44" s="4" t="s">
        <v>2</v>
      </c>
      <c r="B44" s="16">
        <v>0.5</v>
      </c>
      <c r="C44" s="16">
        <v>0.5</v>
      </c>
      <c r="D44" s="16">
        <v>0.5</v>
      </c>
      <c r="E44" s="16">
        <v>0.5</v>
      </c>
      <c r="F44" s="16">
        <v>0.5</v>
      </c>
      <c r="G44" s="16">
        <v>0.5</v>
      </c>
    </row>
    <row r="45">
      <c r="A45" s="4" t="s">
        <v>4</v>
      </c>
      <c r="B45" s="16">
        <v>0.5</v>
      </c>
      <c r="C45" s="16">
        <v>0.5</v>
      </c>
      <c r="D45" s="16">
        <v>0.5</v>
      </c>
      <c r="E45" s="16">
        <v>0.5</v>
      </c>
      <c r="F45" s="16">
        <v>0.5</v>
      </c>
      <c r="G45" s="16">
        <v>0.5</v>
      </c>
    </row>
    <row r="46">
      <c r="A46" s="4" t="s">
        <v>10</v>
      </c>
      <c r="B46" s="16">
        <v>0.5</v>
      </c>
      <c r="C46" s="16">
        <v>0.5</v>
      </c>
      <c r="D46" s="7"/>
      <c r="E46" s="7"/>
      <c r="F46" s="7"/>
      <c r="G46" s="7"/>
    </row>
    <row r="47">
      <c r="A47" s="4" t="s">
        <v>11</v>
      </c>
      <c r="B47" s="16">
        <v>0.0</v>
      </c>
      <c r="C47" s="16">
        <v>0.0</v>
      </c>
      <c r="D47" s="16">
        <v>0.0</v>
      </c>
      <c r="E47" s="16">
        <v>0.0</v>
      </c>
      <c r="F47" s="16">
        <v>0.0</v>
      </c>
      <c r="G47" s="16">
        <v>0.0</v>
      </c>
    </row>
    <row r="48">
      <c r="A48" s="4" t="s">
        <v>13</v>
      </c>
      <c r="B48" s="16">
        <v>0.0</v>
      </c>
      <c r="C48" s="16">
        <v>0.0</v>
      </c>
      <c r="D48" s="16">
        <v>0.0</v>
      </c>
      <c r="E48" s="16">
        <v>0.0</v>
      </c>
      <c r="F48" s="16">
        <v>0.0</v>
      </c>
      <c r="G48" s="16">
        <v>0.0</v>
      </c>
    </row>
    <row r="57">
      <c r="A57" s="1"/>
      <c r="B57" s="63"/>
      <c r="C57" s="63"/>
      <c r="D57" s="63"/>
      <c r="E57" s="63"/>
      <c r="F57" s="63"/>
      <c r="G57" s="63"/>
    </row>
    <row r="58">
      <c r="A58" s="1"/>
      <c r="B58" s="31"/>
      <c r="C58" s="31"/>
      <c r="D58" s="31"/>
      <c r="E58" s="31"/>
      <c r="F58" s="31"/>
      <c r="G58" s="31"/>
    </row>
    <row r="59">
      <c r="A59" s="1"/>
      <c r="B59" s="31"/>
      <c r="C59" s="31"/>
      <c r="D59" s="31"/>
      <c r="E59" s="31"/>
      <c r="F59" s="31"/>
      <c r="G59" s="31"/>
    </row>
    <row r="60">
      <c r="A60" s="1"/>
      <c r="B60" s="62"/>
      <c r="C60" s="62"/>
      <c r="D60" s="62"/>
      <c r="E60" s="62"/>
      <c r="F60" s="62"/>
      <c r="G60" s="62"/>
    </row>
    <row r="61">
      <c r="A61" s="1"/>
      <c r="B61" s="62"/>
      <c r="C61" s="62"/>
      <c r="D61" s="66"/>
      <c r="E61" s="66"/>
      <c r="F61" s="62"/>
      <c r="G61" s="62"/>
    </row>
    <row r="62">
      <c r="A62" s="66"/>
      <c r="B62" s="66"/>
      <c r="C62" s="66"/>
      <c r="D62" s="66"/>
      <c r="E62" s="66"/>
      <c r="F62" s="66"/>
      <c r="G62" s="66"/>
    </row>
    <row r="63">
      <c r="A63" s="1"/>
      <c r="B63" s="63"/>
      <c r="C63" s="63"/>
      <c r="D63" s="63"/>
      <c r="E63" s="63"/>
      <c r="F63" s="63"/>
      <c r="G63" s="63"/>
    </row>
    <row r="64">
      <c r="A64" s="1"/>
      <c r="B64" s="62"/>
      <c r="C64" s="62"/>
      <c r="D64" s="62"/>
      <c r="E64" s="62"/>
      <c r="F64" s="62"/>
      <c r="G64" s="62"/>
    </row>
    <row r="65">
      <c r="A65" s="1"/>
      <c r="B65" s="68"/>
      <c r="C65" s="68"/>
      <c r="D65" s="66"/>
      <c r="E65" s="66"/>
      <c r="F65" s="68"/>
      <c r="G65" s="68"/>
    </row>
    <row r="66">
      <c r="A66" s="1"/>
      <c r="B66" s="62"/>
      <c r="C66" s="62"/>
      <c r="D66" s="62"/>
      <c r="E66" s="62"/>
      <c r="F66" s="62"/>
      <c r="G66" s="62"/>
    </row>
    <row r="67">
      <c r="A67" s="1"/>
      <c r="B67" s="68"/>
      <c r="C67" s="68"/>
      <c r="D67" s="66"/>
      <c r="E67" s="66"/>
      <c r="F67" s="68"/>
      <c r="G67" s="68"/>
    </row>
    <row r="68">
      <c r="A68" s="66"/>
      <c r="B68" s="66"/>
      <c r="C68" s="66"/>
      <c r="D68" s="66"/>
      <c r="E68" s="66"/>
      <c r="F68" s="66"/>
      <c r="G68" s="66"/>
    </row>
    <row r="69">
      <c r="A69" s="1"/>
      <c r="B69" s="63"/>
      <c r="C69" s="63"/>
      <c r="D69" s="63"/>
      <c r="E69" s="63"/>
      <c r="F69" s="63"/>
      <c r="G69" s="63"/>
    </row>
    <row r="70">
      <c r="A70" s="1"/>
      <c r="B70" s="62"/>
      <c r="C70" s="62"/>
      <c r="D70" s="62"/>
      <c r="E70" s="62"/>
      <c r="F70" s="62"/>
      <c r="G70" s="62"/>
    </row>
    <row r="71">
      <c r="A71" s="1"/>
      <c r="B71" s="68"/>
      <c r="C71" s="68"/>
      <c r="D71" s="66"/>
      <c r="E71" s="66"/>
      <c r="F71" s="68"/>
      <c r="G71" s="68"/>
    </row>
    <row r="72">
      <c r="A72" s="1"/>
      <c r="B72" s="62"/>
      <c r="C72" s="62"/>
      <c r="D72" s="62"/>
      <c r="E72" s="62"/>
      <c r="F72" s="62"/>
      <c r="G72" s="62"/>
    </row>
    <row r="73">
      <c r="A73" s="1"/>
      <c r="B73" s="68"/>
      <c r="C73" s="68"/>
      <c r="D73" s="66"/>
      <c r="E73" s="66"/>
      <c r="F73" s="68"/>
      <c r="G73" s="68"/>
    </row>
    <row r="74">
      <c r="A74" s="66"/>
      <c r="B74" s="66"/>
      <c r="C74" s="66"/>
      <c r="D74" s="66"/>
      <c r="E74" s="66"/>
      <c r="F74" s="66"/>
      <c r="G74" s="66"/>
    </row>
    <row r="75">
      <c r="A75" s="1"/>
      <c r="B75" s="63"/>
      <c r="C75" s="63"/>
      <c r="D75" s="63"/>
      <c r="E75" s="63"/>
      <c r="F75" s="63"/>
      <c r="G75" s="63"/>
    </row>
    <row r="76">
      <c r="A76" s="1"/>
      <c r="B76" s="62"/>
      <c r="C76" s="62"/>
      <c r="D76" s="62"/>
      <c r="E76" s="62"/>
      <c r="F76" s="62"/>
      <c r="G76" s="62"/>
    </row>
    <row r="77">
      <c r="A77" s="1"/>
      <c r="B77" s="68"/>
      <c r="C77" s="68"/>
      <c r="D77" s="66"/>
      <c r="E77" s="66"/>
      <c r="F77" s="68"/>
      <c r="G77" s="68"/>
    </row>
    <row r="78">
      <c r="A78" s="1"/>
      <c r="B78" s="62"/>
      <c r="C78" s="62"/>
      <c r="D78" s="62"/>
      <c r="E78" s="62"/>
      <c r="F78" s="62"/>
      <c r="G78" s="62"/>
    </row>
    <row r="79">
      <c r="A79" s="1"/>
      <c r="B79" s="62"/>
      <c r="C79" s="62"/>
      <c r="D79" s="66"/>
      <c r="E79" s="66"/>
      <c r="F79" s="62"/>
      <c r="G79" s="62"/>
    </row>
    <row r="80">
      <c r="A80" s="66"/>
      <c r="B80" s="66"/>
      <c r="C80" s="66"/>
      <c r="D80" s="66"/>
      <c r="E80" s="66"/>
      <c r="F80" s="66"/>
      <c r="G80" s="66"/>
    </row>
    <row r="81">
      <c r="A81" s="1"/>
      <c r="B81" s="63"/>
      <c r="C81" s="63"/>
      <c r="D81" s="63"/>
      <c r="E81" s="63"/>
      <c r="F81" s="63"/>
      <c r="G81" s="63"/>
    </row>
    <row r="82">
      <c r="A82" s="1"/>
      <c r="B82" s="62"/>
      <c r="C82" s="62"/>
      <c r="D82" s="62"/>
      <c r="E82" s="62"/>
      <c r="F82" s="62"/>
      <c r="G82" s="62"/>
    </row>
    <row r="83">
      <c r="A83" s="1"/>
      <c r="B83" s="68"/>
      <c r="C83" s="68"/>
      <c r="D83" s="66"/>
      <c r="E83" s="66"/>
      <c r="F83" s="68"/>
      <c r="G83" s="68"/>
    </row>
    <row r="84">
      <c r="A84" s="1"/>
      <c r="B84" s="68"/>
      <c r="C84" s="68"/>
      <c r="D84" s="68"/>
      <c r="E84" s="68"/>
      <c r="F84" s="68"/>
      <c r="G84" s="68"/>
    </row>
    <row r="85">
      <c r="A85" s="1"/>
      <c r="B85" s="68"/>
      <c r="C85" s="68"/>
      <c r="D85" s="66"/>
      <c r="E85" s="66"/>
      <c r="F85" s="62"/>
      <c r="G85" s="62"/>
    </row>
    <row r="86">
      <c r="A86" s="66"/>
      <c r="B86" s="66"/>
      <c r="C86" s="66"/>
      <c r="D86" s="66"/>
      <c r="E86" s="66"/>
      <c r="F86" s="66"/>
      <c r="G86" s="66"/>
    </row>
    <row r="87">
      <c r="A87" s="1"/>
      <c r="B87" s="63"/>
      <c r="C87" s="63"/>
      <c r="D87" s="63"/>
      <c r="E87" s="63"/>
      <c r="F87" s="63"/>
      <c r="G87" s="63"/>
    </row>
    <row r="88">
      <c r="A88" s="1"/>
      <c r="B88" s="62"/>
      <c r="C88" s="62"/>
      <c r="D88" s="62"/>
      <c r="E88" s="62"/>
      <c r="F88" s="62"/>
      <c r="G88" s="62"/>
    </row>
    <row r="89">
      <c r="A89" s="1"/>
      <c r="B89" s="62"/>
      <c r="C89" s="62"/>
      <c r="D89" s="66"/>
      <c r="E89" s="66"/>
      <c r="F89" s="68"/>
      <c r="G89" s="68"/>
    </row>
    <row r="90">
      <c r="A90" s="1"/>
      <c r="B90" s="62"/>
      <c r="C90" s="62"/>
      <c r="D90" s="62"/>
      <c r="E90" s="62"/>
      <c r="F90" s="62"/>
      <c r="G90" s="62"/>
    </row>
    <row r="91">
      <c r="A91" s="1"/>
      <c r="B91" s="62"/>
      <c r="C91" s="62"/>
      <c r="D91" s="66"/>
      <c r="E91" s="66"/>
      <c r="F91" s="62"/>
      <c r="G91" s="62"/>
    </row>
    <row r="92">
      <c r="A92" s="66"/>
      <c r="B92" s="66"/>
      <c r="C92" s="66"/>
      <c r="D92" s="66"/>
      <c r="E92" s="66"/>
      <c r="F92" s="66"/>
      <c r="G92" s="66"/>
    </row>
    <row r="93">
      <c r="A93" s="1"/>
      <c r="B93" s="63"/>
      <c r="C93" s="63"/>
      <c r="D93" s="63"/>
      <c r="E93" s="63"/>
      <c r="F93" s="63"/>
      <c r="G93" s="63"/>
    </row>
    <row r="94">
      <c r="A94" s="1"/>
      <c r="B94" s="62"/>
      <c r="C94" s="62"/>
      <c r="D94" s="62"/>
      <c r="E94" s="62"/>
      <c r="F94" s="62"/>
      <c r="G94" s="62"/>
    </row>
    <row r="95">
      <c r="A95" s="1"/>
      <c r="B95" s="62"/>
      <c r="C95" s="62"/>
      <c r="D95" s="66"/>
      <c r="E95" s="66"/>
      <c r="F95" s="68"/>
      <c r="G95" s="68"/>
    </row>
    <row r="96">
      <c r="A96" s="1"/>
      <c r="B96" s="62"/>
      <c r="C96" s="62"/>
      <c r="D96" s="62"/>
      <c r="E96" s="62"/>
      <c r="F96" s="62"/>
      <c r="G96" s="62"/>
    </row>
    <row r="97">
      <c r="A97" s="1"/>
      <c r="B97" s="62"/>
      <c r="C97" s="62"/>
      <c r="D97" s="66"/>
      <c r="E97" s="66"/>
      <c r="F97" s="62"/>
      <c r="G97" s="62"/>
    </row>
    <row r="98">
      <c r="A98" s="66"/>
      <c r="B98" s="66"/>
      <c r="C98" s="66"/>
      <c r="D98" s="66"/>
      <c r="E98" s="66"/>
      <c r="F98" s="66"/>
      <c r="G98" s="66"/>
    </row>
    <row r="99">
      <c r="A99" s="74"/>
      <c r="B99" s="63"/>
      <c r="C99" s="63"/>
      <c r="D99" s="63"/>
      <c r="E99" s="63"/>
      <c r="F99" s="63"/>
      <c r="G99" s="63"/>
    </row>
    <row r="100">
      <c r="A100" s="1"/>
      <c r="B100" s="62"/>
      <c r="C100" s="62"/>
      <c r="D100" s="62"/>
      <c r="E100" s="62"/>
      <c r="F100" s="62"/>
      <c r="G100" s="62"/>
    </row>
    <row r="101">
      <c r="A101" s="1"/>
      <c r="B101" s="62"/>
      <c r="C101" s="62"/>
      <c r="D101" s="66"/>
      <c r="E101" s="66"/>
      <c r="F101" s="62"/>
      <c r="G101" s="62"/>
    </row>
    <row r="102">
      <c r="A102" s="1"/>
      <c r="B102" s="62"/>
      <c r="C102" s="62"/>
      <c r="D102" s="62"/>
      <c r="E102" s="62"/>
      <c r="F102" s="62"/>
      <c r="G102" s="62"/>
    </row>
    <row r="103">
      <c r="A103" s="1"/>
      <c r="B103" s="62"/>
      <c r="C103" s="62"/>
      <c r="D103" s="66"/>
      <c r="E103" s="66"/>
      <c r="F103" s="62"/>
      <c r="G103" s="62"/>
    </row>
  </sheetData>
  <drawing r:id="rId1"/>
  <tableParts count="3">
    <tablePart r:id="rId5"/>
    <tablePart r:id="rId6"/>
    <tablePart r:id="rId7"/>
  </tableParts>
</worksheet>
</file>